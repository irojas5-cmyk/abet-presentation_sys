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D16" i="1"/>
  <c r="E16" i="1"/>
  <c r="L28" i="1" l="1"/>
  <c r="L30" i="1"/>
  <c r="K30" i="1"/>
  <c r="L29" i="1"/>
  <c r="K28" i="1"/>
  <c r="K29" i="1"/>
  <c r="L26" i="1"/>
  <c r="L25" i="1"/>
  <c r="L31" i="1" l="1"/>
  <c r="I30" i="1"/>
  <c r="I29" i="1"/>
  <c r="I28" i="1"/>
  <c r="J30" i="1"/>
  <c r="J29" i="1"/>
  <c r="J28" i="1"/>
  <c r="I25" i="1"/>
  <c r="J26" i="1"/>
  <c r="I26" i="1"/>
  <c r="J25" i="1"/>
  <c r="C16" i="1"/>
  <c r="B16" i="1"/>
  <c r="K26" i="1" l="1"/>
  <c r="K25" i="1"/>
  <c r="I35" i="1" s="1"/>
  <c r="J31" i="1"/>
  <c r="I31" i="1"/>
  <c r="I36" i="1" l="1"/>
  <c r="K31" i="1"/>
</calcChain>
</file>

<file path=xl/sharedStrings.xml><?xml version="1.0" encoding="utf-8"?>
<sst xmlns="http://schemas.openxmlformats.org/spreadsheetml/2006/main" count="61" uniqueCount="51">
  <si>
    <t>SO</t>
  </si>
  <si>
    <t>Unsatisfactory</t>
  </si>
  <si>
    <t>Developing</t>
  </si>
  <si>
    <t>Satisfactory</t>
  </si>
  <si>
    <t>Average</t>
  </si>
  <si>
    <t>Student</t>
  </si>
  <si>
    <t>U</t>
  </si>
  <si>
    <t>Checksum</t>
  </si>
  <si>
    <t>S</t>
  </si>
  <si>
    <t>D</t>
  </si>
  <si>
    <t>Average Score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</si>
  <si>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</si>
  <si>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</si>
  <si>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</si>
  <si>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</si>
  <si>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</si>
  <si>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</si>
  <si>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</si>
  <si>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</si>
  <si>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</si>
  <si>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</si>
  <si>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</si>
  <si>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</si>
  <si>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</si>
  <si>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</si>
  <si>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</si>
  <si>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</si>
  <si>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</si>
  <si>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</si>
  <si>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</si>
  <si>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</si>
  <si>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</si>
  <si>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</si>
  <si>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r>
      <rPr>
        <b/>
        <sz val="11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</si>
  <si>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1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</si>
  <si>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1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</si>
  <si>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Prepared by: M. Caracotsios</t>
  </si>
  <si>
    <t>An ability to identify, formulate, and solve complex engineering problems by applying principles of engineering, science, and mathematics.</t>
  </si>
  <si>
    <t>RAW DATA</t>
  </si>
  <si>
    <t>1A,1B,1C,1D</t>
  </si>
  <si>
    <t>3A,3B,3C,3D</t>
  </si>
  <si>
    <t>2A,2B,2C,2D,2E,2F</t>
  </si>
  <si>
    <t>4A,4B</t>
  </si>
  <si>
    <t>CHE 341 Spring 2020</t>
  </si>
  <si>
    <t>Chemical Process Control</t>
  </si>
  <si>
    <t>Assessment rubric: Final exam,  Problems 1,2,3,4</t>
  </si>
  <si>
    <t>&lt;40</t>
  </si>
  <si>
    <t>40-60</t>
  </si>
  <si>
    <t>&gt;60</t>
  </si>
  <si>
    <t>Standard Dev.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</si>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</sst>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4" fillId="6" borderId="0" xfId="0" applyFont="1" applyFill="1"/>
    <xf numFmtId="2" fontId="0" fillId="0" borderId="0" xfId="0" applyNumberFormat="1" applyFill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left" indent="1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5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6" borderId="0" xfId="0" applyFont="1" applyFill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1" xfId="0" applyFill="1" applyBorder="1"/>
    <xf numFmtId="1" fontId="1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" fontId="0" fillId="4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0"/>
  <sheetViews>
    <sheetView tabSelected="1" workbookViewId="0">
      <selection activeCell="H22" sqref="H22:L36"/>
    </sheetView>
  </sheetViews>
  <sheetFormatPr defaultRowHeight="15" x14ac:dyDescent="0.25"/>
  <cols>
    <col min="1" max="1" width="27.7109375" customWidth="1"/>
    <col min="2" max="2" width="17" customWidth="1"/>
    <col min="3" max="3" width="11" customWidth="1"/>
    <col min="4" max="4" width="12.28515625" customWidth="1"/>
    <col min="5" max="5" width="12.85546875" customWidth="1"/>
    <col min="8" max="8" width="14.5703125" customWidth="1"/>
    <col min="9" max="9" width="18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1" x14ac:dyDescent="0.25">
      <c r="A1" s="12" t="s">
        <v>43</v>
      </c>
      <c r="F1" s="50" t="s">
        <v>20</v>
      </c>
      <c r="G1" s="50"/>
      <c r="H1" s="50"/>
      <c r="Q1" s="51" t="s">
        <v>38</v>
      </c>
      <c r="R1" s="52"/>
      <c r="S1" s="52"/>
      <c r="T1" s="52"/>
    </row>
    <row r="2" spans="1:21" ht="15.75" x14ac:dyDescent="0.25">
      <c r="A2" s="1" t="s">
        <v>44</v>
      </c>
      <c r="F2" s="11" t="s">
        <v>37</v>
      </c>
      <c r="Q2" s="57">
        <v>2</v>
      </c>
      <c r="R2" s="57">
        <v>1</v>
      </c>
      <c r="S2" s="57">
        <v>4</v>
      </c>
      <c r="T2" s="57">
        <v>3</v>
      </c>
    </row>
    <row r="3" spans="1:21" x14ac:dyDescent="0.25">
      <c r="A3" s="3" t="s">
        <v>26</v>
      </c>
      <c r="F3" t="s">
        <v>21</v>
      </c>
      <c r="Q3" s="58">
        <v>72</v>
      </c>
      <c r="R3" s="59">
        <v>100</v>
      </c>
      <c r="S3" s="58">
        <v>72</v>
      </c>
      <c r="T3" s="59">
        <v>96.8</v>
      </c>
    </row>
    <row r="4" spans="1:21" x14ac:dyDescent="0.25">
      <c r="A4" s="3" t="s">
        <v>45</v>
      </c>
      <c r="B4" s="3"/>
      <c r="C4" s="3"/>
      <c r="D4" s="3"/>
      <c r="Q4" s="60">
        <v>63</v>
      </c>
      <c r="R4" s="61">
        <v>58</v>
      </c>
      <c r="S4" s="60">
        <v>31.2</v>
      </c>
      <c r="T4" s="61">
        <v>78.8</v>
      </c>
    </row>
    <row r="5" spans="1:21" x14ac:dyDescent="0.25">
      <c r="A5" s="3" t="s">
        <v>36</v>
      </c>
      <c r="B5" s="3"/>
      <c r="C5" s="3"/>
      <c r="D5" s="3"/>
      <c r="E5" s="3"/>
      <c r="F5" s="1" t="s">
        <v>22</v>
      </c>
      <c r="G5" s="3"/>
      <c r="Q5" s="60">
        <v>66</v>
      </c>
      <c r="R5" s="61">
        <v>85</v>
      </c>
      <c r="S5" s="60">
        <v>26.5</v>
      </c>
      <c r="T5" s="61">
        <v>85.6</v>
      </c>
    </row>
    <row r="6" spans="1:21" x14ac:dyDescent="0.25">
      <c r="A6" s="3"/>
      <c r="B6" s="3"/>
      <c r="C6" s="3"/>
      <c r="D6" s="3"/>
      <c r="E6" s="3"/>
      <c r="F6" s="3" t="s">
        <v>23</v>
      </c>
      <c r="G6" s="3"/>
      <c r="Q6" s="60">
        <v>27.5</v>
      </c>
      <c r="R6" s="61">
        <v>46.3</v>
      </c>
      <c r="S6" s="60">
        <v>33.200000000000003</v>
      </c>
      <c r="T6" s="61">
        <v>74</v>
      </c>
    </row>
    <row r="7" spans="1:21" x14ac:dyDescent="0.25">
      <c r="A7" s="3"/>
      <c r="F7" t="s">
        <v>24</v>
      </c>
      <c r="Q7" s="60">
        <v>35</v>
      </c>
      <c r="R7" s="61">
        <v>63.6</v>
      </c>
      <c r="S7" s="60">
        <v>10</v>
      </c>
      <c r="T7" s="61">
        <v>76</v>
      </c>
    </row>
    <row r="8" spans="1:21" x14ac:dyDescent="0.25">
      <c r="F8" t="s">
        <v>25</v>
      </c>
      <c r="Q8" s="60">
        <v>68</v>
      </c>
      <c r="R8" s="61">
        <v>100</v>
      </c>
      <c r="S8" s="60">
        <v>30.5</v>
      </c>
      <c r="T8" s="61">
        <v>86</v>
      </c>
    </row>
    <row r="9" spans="1:21" x14ac:dyDescent="0.25">
      <c r="A9" s="9" t="s">
        <v>14</v>
      </c>
      <c r="B9" s="5"/>
      <c r="C9" s="5"/>
      <c r="F9" t="s">
        <v>29</v>
      </c>
      <c r="Q9" s="60">
        <v>69</v>
      </c>
      <c r="R9" s="61">
        <v>100</v>
      </c>
      <c r="S9" s="60">
        <v>30.5</v>
      </c>
      <c r="T9" s="61">
        <v>88</v>
      </c>
    </row>
    <row r="10" spans="1:21" x14ac:dyDescent="0.25">
      <c r="A10" s="5">
        <v>1</v>
      </c>
      <c r="B10" s="5" t="s">
        <v>1</v>
      </c>
      <c r="C10" s="5"/>
      <c r="F10" t="s">
        <v>30</v>
      </c>
      <c r="Q10" s="60">
        <v>67.8</v>
      </c>
      <c r="R10" s="61">
        <v>85</v>
      </c>
      <c r="S10" s="60">
        <v>32.5</v>
      </c>
      <c r="T10" s="61">
        <v>84</v>
      </c>
    </row>
    <row r="11" spans="1:21" x14ac:dyDescent="0.25">
      <c r="A11" s="5">
        <v>2</v>
      </c>
      <c r="B11" s="5" t="s">
        <v>2</v>
      </c>
      <c r="C11" s="5"/>
      <c r="F11" t="s">
        <v>31</v>
      </c>
      <c r="N11" s="55"/>
      <c r="O11" s="55"/>
      <c r="Q11" s="60">
        <v>60</v>
      </c>
      <c r="R11" s="61">
        <v>17.5</v>
      </c>
      <c r="S11" s="60">
        <v>25</v>
      </c>
      <c r="T11" s="61">
        <v>75.8</v>
      </c>
    </row>
    <row r="12" spans="1:21" x14ac:dyDescent="0.25">
      <c r="A12" s="5">
        <v>3</v>
      </c>
      <c r="B12" s="5" t="s">
        <v>3</v>
      </c>
      <c r="C12" s="5"/>
      <c r="F12" t="s">
        <v>32</v>
      </c>
      <c r="Q12" s="60">
        <v>67</v>
      </c>
      <c r="R12" s="61">
        <v>98</v>
      </c>
      <c r="S12" s="60">
        <v>65</v>
      </c>
      <c r="T12" s="61">
        <v>98</v>
      </c>
    </row>
    <row r="13" spans="1:21" x14ac:dyDescent="0.25">
      <c r="A13" s="5"/>
      <c r="B13" s="5"/>
      <c r="C13" s="5"/>
      <c r="Q13" s="60">
        <v>20</v>
      </c>
      <c r="R13" s="61">
        <v>59</v>
      </c>
      <c r="S13" s="60">
        <v>25</v>
      </c>
      <c r="T13" s="61">
        <v>92.6</v>
      </c>
      <c r="U13" t="s">
        <v>28</v>
      </c>
    </row>
    <row r="14" spans="1:21" x14ac:dyDescent="0.25">
      <c r="H14" s="12" t="s">
        <v>17</v>
      </c>
      <c r="Q14" s="60">
        <v>67.8</v>
      </c>
      <c r="R14" s="61">
        <v>84.3</v>
      </c>
      <c r="S14" s="60">
        <v>30.5</v>
      </c>
      <c r="T14" s="61">
        <v>91</v>
      </c>
    </row>
    <row r="15" spans="1:21" x14ac:dyDescent="0.25">
      <c r="A15" s="41" t="s">
        <v>27</v>
      </c>
      <c r="B15" s="41">
        <v>1</v>
      </c>
      <c r="C15" s="41">
        <v>2</v>
      </c>
      <c r="D15" s="41">
        <v>4</v>
      </c>
      <c r="E15" s="41">
        <v>7</v>
      </c>
      <c r="H15" s="14" t="s">
        <v>18</v>
      </c>
      <c r="I15" s="14" t="s">
        <v>16</v>
      </c>
      <c r="J15" s="14" t="s">
        <v>19</v>
      </c>
      <c r="K15" s="14" t="s">
        <v>33</v>
      </c>
      <c r="L15" s="14" t="s">
        <v>34</v>
      </c>
      <c r="M15" s="14" t="s">
        <v>35</v>
      </c>
      <c r="Q15" s="60">
        <v>27</v>
      </c>
      <c r="R15" s="61">
        <v>91.55</v>
      </c>
      <c r="S15" s="60">
        <v>31</v>
      </c>
      <c r="T15" s="61">
        <v>42.1</v>
      </c>
    </row>
    <row r="16" spans="1:21" x14ac:dyDescent="0.25">
      <c r="A16" s="42" t="s">
        <v>16</v>
      </c>
      <c r="B16" s="43" t="str">
        <f>I16</f>
        <v>2A,2B,2C,2D,2E,2F</v>
      </c>
      <c r="C16" s="43" t="str">
        <f>I17</f>
        <v>1A,1B,1C,1D</v>
      </c>
      <c r="D16" s="43" t="str">
        <f>I18</f>
        <v>4A,4B</v>
      </c>
      <c r="E16" s="43" t="str">
        <f>I19</f>
        <v>3A,3B,3C,3D</v>
      </c>
      <c r="F16" s="2"/>
      <c r="G16" s="2"/>
      <c r="H16" s="35">
        <v>1</v>
      </c>
      <c r="I16" s="28" t="s">
        <v>41</v>
      </c>
      <c r="J16" s="28">
        <v>100</v>
      </c>
      <c r="K16" s="30" t="s">
        <v>46</v>
      </c>
      <c r="L16" s="31" t="s">
        <v>47</v>
      </c>
      <c r="M16" s="30" t="s">
        <v>48</v>
      </c>
      <c r="Q16" s="60">
        <v>67</v>
      </c>
      <c r="R16" s="61">
        <v>92.5</v>
      </c>
      <c r="S16" s="60">
        <v>70</v>
      </c>
      <c r="T16" s="61">
        <v>37</v>
      </c>
    </row>
    <row r="17" spans="1:20" x14ac:dyDescent="0.25">
      <c r="B17" s="2"/>
      <c r="H17" s="36">
        <v>2</v>
      </c>
      <c r="I17" s="29" t="s">
        <v>39</v>
      </c>
      <c r="J17" s="29">
        <v>100</v>
      </c>
      <c r="K17" s="30" t="s">
        <v>46</v>
      </c>
      <c r="L17" s="31" t="s">
        <v>47</v>
      </c>
      <c r="M17" s="30" t="s">
        <v>48</v>
      </c>
      <c r="Q17" s="60">
        <v>71</v>
      </c>
      <c r="R17" s="61">
        <v>99.3</v>
      </c>
      <c r="S17" s="60">
        <v>75</v>
      </c>
      <c r="T17" s="61">
        <v>90</v>
      </c>
    </row>
    <row r="18" spans="1:20" x14ac:dyDescent="0.25">
      <c r="A18" s="34" t="s">
        <v>5</v>
      </c>
      <c r="B18" s="2"/>
      <c r="H18" s="53">
        <v>4</v>
      </c>
      <c r="I18" s="54" t="s">
        <v>42</v>
      </c>
      <c r="J18" s="29">
        <v>100</v>
      </c>
      <c r="K18" s="30" t="s">
        <v>46</v>
      </c>
      <c r="L18" s="31" t="s">
        <v>47</v>
      </c>
      <c r="M18" s="30" t="s">
        <v>48</v>
      </c>
      <c r="Q18" s="60">
        <v>69</v>
      </c>
      <c r="R18" s="61">
        <v>44</v>
      </c>
      <c r="S18" s="60">
        <v>30</v>
      </c>
      <c r="T18" s="61">
        <v>65.599999999999994</v>
      </c>
    </row>
    <row r="19" spans="1:20" x14ac:dyDescent="0.25">
      <c r="A19" s="10">
        <v>1</v>
      </c>
      <c r="B19" s="10">
        <f>IF(Q3&gt;=60,3,IF(AND(Q3&lt;60,Q3&gt;=40),2,1))</f>
        <v>3</v>
      </c>
      <c r="C19" s="10">
        <f>IF(R3&gt;=60,3,IF(AND(R3&lt;60,R3&gt;=40),2,1))</f>
        <v>3</v>
      </c>
      <c r="D19" s="10">
        <f>IF(S3&gt;=60,3,IF(AND(S3&lt;60,S3&gt;=40),2,1))</f>
        <v>3</v>
      </c>
      <c r="E19" s="10">
        <f>IF(T3&gt;=60,3,IF(AND(T3&lt;60,T3&gt;=40),2,1))</f>
        <v>3</v>
      </c>
      <c r="H19" s="37">
        <v>7</v>
      </c>
      <c r="I19" s="32" t="s">
        <v>40</v>
      </c>
      <c r="J19" s="32">
        <v>100</v>
      </c>
      <c r="K19" s="33" t="s">
        <v>46</v>
      </c>
      <c r="L19" s="64" t="s">
        <v>47</v>
      </c>
      <c r="M19" s="33" t="s">
        <v>48</v>
      </c>
      <c r="Q19" s="60">
        <v>29.5</v>
      </c>
      <c r="R19" s="61">
        <v>91</v>
      </c>
      <c r="S19" s="60">
        <v>14.5</v>
      </c>
      <c r="T19" s="61">
        <v>59</v>
      </c>
    </row>
    <row r="20" spans="1:20" x14ac:dyDescent="0.25">
      <c r="A20" s="10">
        <f>A19+1</f>
        <v>2</v>
      </c>
      <c r="B20" s="56">
        <f t="shared" ref="B20:B70" si="0">IF(Q4&gt;=60,3,IF(AND(Q4&lt;60,Q4&gt;=40),2,1))</f>
        <v>3</v>
      </c>
      <c r="C20" s="56">
        <f t="shared" ref="C20:C70" si="1">IF(R4&gt;=60,3,IF(AND(R4&lt;60,R4&gt;=40),2,1))</f>
        <v>2</v>
      </c>
      <c r="D20" s="56">
        <f t="shared" ref="D20:D70" si="2">IF(S4&gt;=60,3,IF(AND(S4&lt;60,S4&gt;=40),2,1))</f>
        <v>1</v>
      </c>
      <c r="E20" s="56">
        <f t="shared" ref="E20:E70" si="3">IF(T4&gt;=60,3,IF(AND(T4&lt;60,T4&gt;=40),2,1))</f>
        <v>3</v>
      </c>
      <c r="Q20" s="60">
        <v>70</v>
      </c>
      <c r="R20" s="61">
        <v>88.75</v>
      </c>
      <c r="S20" s="60">
        <v>62.5</v>
      </c>
      <c r="T20" s="61">
        <v>80.400000000000006</v>
      </c>
    </row>
    <row r="21" spans="1:20" x14ac:dyDescent="0.25">
      <c r="A21" s="56">
        <f t="shared" ref="A21:A70" si="4">A20+1</f>
        <v>3</v>
      </c>
      <c r="B21" s="56">
        <f t="shared" si="0"/>
        <v>3</v>
      </c>
      <c r="C21" s="56">
        <f t="shared" si="1"/>
        <v>3</v>
      </c>
      <c r="D21" s="56">
        <f t="shared" si="2"/>
        <v>1</v>
      </c>
      <c r="E21" s="56">
        <f t="shared" si="3"/>
        <v>3</v>
      </c>
      <c r="Q21" s="60">
        <v>64</v>
      </c>
      <c r="R21" s="61">
        <v>51.5</v>
      </c>
      <c r="S21" s="60">
        <v>65</v>
      </c>
      <c r="T21" s="61">
        <v>67</v>
      </c>
    </row>
    <row r="22" spans="1:20" x14ac:dyDescent="0.25">
      <c r="A22" s="56">
        <f t="shared" si="4"/>
        <v>4</v>
      </c>
      <c r="B22" s="56">
        <f t="shared" si="0"/>
        <v>1</v>
      </c>
      <c r="C22" s="56">
        <f t="shared" si="1"/>
        <v>2</v>
      </c>
      <c r="D22" s="56">
        <f t="shared" si="2"/>
        <v>1</v>
      </c>
      <c r="E22" s="56">
        <f t="shared" si="3"/>
        <v>3</v>
      </c>
      <c r="H22" s="44" t="s">
        <v>12</v>
      </c>
      <c r="I22" s="45"/>
      <c r="J22" s="45"/>
      <c r="K22" s="45"/>
      <c r="L22" s="46"/>
      <c r="Q22" s="60">
        <v>72</v>
      </c>
      <c r="R22" s="61">
        <v>97.25</v>
      </c>
      <c r="S22" s="60">
        <v>75</v>
      </c>
      <c r="T22" s="61">
        <v>98</v>
      </c>
    </row>
    <row r="23" spans="1:20" x14ac:dyDescent="0.25">
      <c r="A23" s="56">
        <f t="shared" si="4"/>
        <v>5</v>
      </c>
      <c r="B23" s="56">
        <f t="shared" si="0"/>
        <v>1</v>
      </c>
      <c r="C23" s="56">
        <f t="shared" si="1"/>
        <v>3</v>
      </c>
      <c r="D23" s="56">
        <f t="shared" si="2"/>
        <v>1</v>
      </c>
      <c r="E23" s="56">
        <f t="shared" si="3"/>
        <v>3</v>
      </c>
      <c r="H23" s="65" t="s">
        <v>15</v>
      </c>
      <c r="I23" s="66">
        <v>1</v>
      </c>
      <c r="J23" s="66">
        <v>2</v>
      </c>
      <c r="K23" s="66">
        <v>4</v>
      </c>
      <c r="L23" s="66">
        <v>7</v>
      </c>
      <c r="Q23" s="60">
        <v>72</v>
      </c>
      <c r="R23" s="61">
        <v>94.25</v>
      </c>
      <c r="S23" s="60">
        <v>84.5</v>
      </c>
      <c r="T23" s="61">
        <v>68</v>
      </c>
    </row>
    <row r="24" spans="1:20" x14ac:dyDescent="0.25">
      <c r="A24" s="56">
        <f t="shared" si="4"/>
        <v>6</v>
      </c>
      <c r="B24" s="56">
        <f t="shared" si="0"/>
        <v>3</v>
      </c>
      <c r="C24" s="56">
        <f t="shared" si="1"/>
        <v>3</v>
      </c>
      <c r="D24" s="56">
        <f t="shared" si="2"/>
        <v>1</v>
      </c>
      <c r="E24" s="56">
        <f t="shared" si="3"/>
        <v>3</v>
      </c>
      <c r="H24" s="20" t="s">
        <v>13</v>
      </c>
      <c r="I24" s="21">
        <v>1</v>
      </c>
      <c r="J24" s="21">
        <v>1</v>
      </c>
      <c r="K24" s="21">
        <v>1</v>
      </c>
      <c r="L24" s="21">
        <v>1</v>
      </c>
      <c r="Q24" s="60">
        <v>77</v>
      </c>
      <c r="R24" s="61">
        <v>91</v>
      </c>
      <c r="S24" s="60">
        <v>30.5</v>
      </c>
      <c r="T24" s="61">
        <v>92</v>
      </c>
    </row>
    <row r="25" spans="1:20" x14ac:dyDescent="0.25">
      <c r="A25" s="56">
        <f t="shared" si="4"/>
        <v>7</v>
      </c>
      <c r="B25" s="56">
        <f t="shared" si="0"/>
        <v>3</v>
      </c>
      <c r="C25" s="56">
        <f t="shared" si="1"/>
        <v>3</v>
      </c>
      <c r="D25" s="56">
        <f t="shared" si="2"/>
        <v>1</v>
      </c>
      <c r="E25" s="56">
        <f t="shared" si="3"/>
        <v>3</v>
      </c>
      <c r="H25" s="15" t="s">
        <v>4</v>
      </c>
      <c r="I25" s="17">
        <f>AVERAGE(B19:B36)</f>
        <v>2.4444444444444446</v>
      </c>
      <c r="J25" s="17">
        <f>AVERAGE(C19:C36)</f>
        <v>2.6666666666666665</v>
      </c>
      <c r="K25" s="17">
        <f>AVERAGE(D19:D36)</f>
        <v>1.5555555555555556</v>
      </c>
      <c r="L25" s="17">
        <f>AVERAGE(E19:E36)</f>
        <v>2.7777777777777777</v>
      </c>
      <c r="Q25" s="60">
        <v>77</v>
      </c>
      <c r="R25" s="61">
        <v>85</v>
      </c>
      <c r="S25" s="60">
        <v>30.5</v>
      </c>
      <c r="T25" s="61">
        <v>96</v>
      </c>
    </row>
    <row r="26" spans="1:20" x14ac:dyDescent="0.25">
      <c r="A26" s="56">
        <f t="shared" si="4"/>
        <v>8</v>
      </c>
      <c r="B26" s="56">
        <f t="shared" si="0"/>
        <v>3</v>
      </c>
      <c r="C26" s="56">
        <f t="shared" si="1"/>
        <v>3</v>
      </c>
      <c r="D26" s="56">
        <f t="shared" si="2"/>
        <v>1</v>
      </c>
      <c r="E26" s="56">
        <f t="shared" si="3"/>
        <v>3</v>
      </c>
      <c r="H26" s="15" t="s">
        <v>50</v>
      </c>
      <c r="I26" s="17">
        <f>STDEV(B19:B36)</f>
        <v>0.9217771979249535</v>
      </c>
      <c r="J26" s="17">
        <f>STDEV(C19:C36)</f>
        <v>0.59408852578600457</v>
      </c>
      <c r="K26" s="17">
        <f>STDEV(D19:D36)</f>
        <v>0.9217771979249535</v>
      </c>
      <c r="L26" s="17">
        <f>STDEV(E19:E36)</f>
        <v>0.54831888055331635</v>
      </c>
      <c r="Q26" s="60">
        <v>72</v>
      </c>
      <c r="R26" s="61">
        <v>100</v>
      </c>
      <c r="S26" s="60">
        <v>40.5</v>
      </c>
      <c r="T26" s="61">
        <v>80</v>
      </c>
    </row>
    <row r="27" spans="1:20" x14ac:dyDescent="0.25">
      <c r="A27" s="56">
        <f t="shared" si="4"/>
        <v>9</v>
      </c>
      <c r="B27" s="56">
        <f t="shared" si="0"/>
        <v>3</v>
      </c>
      <c r="C27" s="56">
        <f t="shared" si="1"/>
        <v>1</v>
      </c>
      <c r="D27" s="56">
        <f t="shared" si="2"/>
        <v>1</v>
      </c>
      <c r="E27" s="56">
        <f t="shared" si="3"/>
        <v>3</v>
      </c>
      <c r="H27" s="16"/>
      <c r="I27" s="16"/>
      <c r="J27" s="16"/>
      <c r="K27" s="16"/>
      <c r="L27" s="16"/>
      <c r="Q27" s="60">
        <v>67.8</v>
      </c>
      <c r="R27" s="61">
        <v>84.3</v>
      </c>
      <c r="S27" s="60">
        <v>40.5</v>
      </c>
      <c r="T27" s="61">
        <v>93</v>
      </c>
    </row>
    <row r="28" spans="1:20" x14ac:dyDescent="0.25">
      <c r="A28" s="56">
        <f t="shared" si="4"/>
        <v>10</v>
      </c>
      <c r="B28" s="56">
        <f t="shared" si="0"/>
        <v>3</v>
      </c>
      <c r="C28" s="56">
        <f t="shared" si="1"/>
        <v>3</v>
      </c>
      <c r="D28" s="56">
        <f t="shared" si="2"/>
        <v>3</v>
      </c>
      <c r="E28" s="56">
        <f t="shared" si="3"/>
        <v>3</v>
      </c>
      <c r="H28" s="18" t="s">
        <v>8</v>
      </c>
      <c r="I28" s="16">
        <f>COUNTIF(B19:B70,3)</f>
        <v>40</v>
      </c>
      <c r="J28" s="16">
        <f>COUNTIF(C19:C70,3)</f>
        <v>40</v>
      </c>
      <c r="K28" s="16">
        <f>COUNTIF(D19:D70,3)</f>
        <v>16</v>
      </c>
      <c r="L28" s="16">
        <f>COUNTIF(E19:E70,3)</f>
        <v>48</v>
      </c>
      <c r="Q28" s="60">
        <v>63</v>
      </c>
      <c r="R28" s="61">
        <v>55.8</v>
      </c>
      <c r="S28" s="60">
        <v>33.200000000000003</v>
      </c>
      <c r="T28" s="61">
        <v>96</v>
      </c>
    </row>
    <row r="29" spans="1:20" x14ac:dyDescent="0.25">
      <c r="A29" s="56">
        <f t="shared" si="4"/>
        <v>11</v>
      </c>
      <c r="B29" s="56">
        <f t="shared" si="0"/>
        <v>1</v>
      </c>
      <c r="C29" s="56">
        <f t="shared" si="1"/>
        <v>2</v>
      </c>
      <c r="D29" s="56">
        <f t="shared" si="2"/>
        <v>1</v>
      </c>
      <c r="E29" s="56">
        <f t="shared" si="3"/>
        <v>3</v>
      </c>
      <c r="H29" s="18" t="s">
        <v>9</v>
      </c>
      <c r="I29" s="16">
        <f>COUNTIF(B19:B70,2)</f>
        <v>3</v>
      </c>
      <c r="J29" s="16">
        <f>COUNTIF(C19:C70,2)</f>
        <v>11</v>
      </c>
      <c r="K29" s="16">
        <f>COUNTIF(D19:D70,2)</f>
        <v>4</v>
      </c>
      <c r="L29" s="16">
        <f>COUNTIF(E19:E70,2)</f>
        <v>3</v>
      </c>
      <c r="Q29" s="60">
        <v>60.3</v>
      </c>
      <c r="R29" s="61">
        <v>70</v>
      </c>
      <c r="S29" s="60">
        <v>14.5</v>
      </c>
      <c r="T29" s="61">
        <v>90.4</v>
      </c>
    </row>
    <row r="30" spans="1:20" x14ac:dyDescent="0.25">
      <c r="A30" s="56">
        <f t="shared" si="4"/>
        <v>12</v>
      </c>
      <c r="B30" s="56">
        <f t="shared" si="0"/>
        <v>3</v>
      </c>
      <c r="C30" s="56">
        <f t="shared" si="1"/>
        <v>3</v>
      </c>
      <c r="D30" s="56">
        <f t="shared" si="2"/>
        <v>1</v>
      </c>
      <c r="E30" s="56">
        <f t="shared" si="3"/>
        <v>3</v>
      </c>
      <c r="H30" s="40" t="s">
        <v>6</v>
      </c>
      <c r="I30" s="19">
        <f>COUNTIF(B19:B70,1)</f>
        <v>9</v>
      </c>
      <c r="J30" s="19">
        <f>COUNTIF(C19:C70,1)</f>
        <v>1</v>
      </c>
      <c r="K30" s="19">
        <f>COUNTIF(D19:D70,1)</f>
        <v>32</v>
      </c>
      <c r="L30" s="19">
        <f>COUNTIF(E19:E70,1)</f>
        <v>1</v>
      </c>
      <c r="Q30" s="60">
        <v>63</v>
      </c>
      <c r="R30" s="61">
        <v>100</v>
      </c>
      <c r="S30" s="60">
        <v>70</v>
      </c>
      <c r="T30" s="61">
        <v>98</v>
      </c>
    </row>
    <row r="31" spans="1:20" x14ac:dyDescent="0.25">
      <c r="A31" s="56">
        <f t="shared" si="4"/>
        <v>13</v>
      </c>
      <c r="B31" s="56">
        <f t="shared" si="0"/>
        <v>1</v>
      </c>
      <c r="C31" s="56">
        <f t="shared" si="1"/>
        <v>3</v>
      </c>
      <c r="D31" s="56">
        <f t="shared" si="2"/>
        <v>1</v>
      </c>
      <c r="E31" s="56">
        <f t="shared" si="3"/>
        <v>2</v>
      </c>
      <c r="H31" s="39" t="s">
        <v>7</v>
      </c>
      <c r="I31" s="39">
        <f>SUM(I27:I30)</f>
        <v>52</v>
      </c>
      <c r="J31" s="39">
        <f t="shared" ref="J31:K31" si="5">SUM(J27:J30)</f>
        <v>52</v>
      </c>
      <c r="K31" s="39">
        <f t="shared" si="5"/>
        <v>52</v>
      </c>
      <c r="L31" s="39">
        <f t="shared" ref="L31" si="6">SUM(L27:L30)</f>
        <v>52</v>
      </c>
      <c r="Q31" s="60">
        <v>13</v>
      </c>
      <c r="R31" s="61">
        <v>73.75</v>
      </c>
      <c r="S31" s="60">
        <v>30.5</v>
      </c>
      <c r="T31" s="61">
        <v>87.3</v>
      </c>
    </row>
    <row r="32" spans="1:20" x14ac:dyDescent="0.25">
      <c r="A32" s="56">
        <f t="shared" si="4"/>
        <v>14</v>
      </c>
      <c r="B32" s="56">
        <f t="shared" si="0"/>
        <v>3</v>
      </c>
      <c r="C32" s="56">
        <f t="shared" si="1"/>
        <v>3</v>
      </c>
      <c r="D32" s="56">
        <f t="shared" si="2"/>
        <v>3</v>
      </c>
      <c r="E32" s="56">
        <f t="shared" si="3"/>
        <v>1</v>
      </c>
      <c r="L32" s="4"/>
      <c r="Q32" s="60">
        <v>63</v>
      </c>
      <c r="R32" s="61">
        <v>58</v>
      </c>
      <c r="S32" s="60">
        <v>33.200000000000003</v>
      </c>
      <c r="T32" s="61">
        <v>82</v>
      </c>
    </row>
    <row r="33" spans="1:20" x14ac:dyDescent="0.25">
      <c r="A33" s="56">
        <f t="shared" si="4"/>
        <v>15</v>
      </c>
      <c r="B33" s="56">
        <f t="shared" si="0"/>
        <v>3</v>
      </c>
      <c r="C33" s="56">
        <f t="shared" si="1"/>
        <v>3</v>
      </c>
      <c r="D33" s="56">
        <f t="shared" si="2"/>
        <v>3</v>
      </c>
      <c r="E33" s="56">
        <f t="shared" si="3"/>
        <v>3</v>
      </c>
      <c r="H33" s="47" t="s">
        <v>11</v>
      </c>
      <c r="I33" s="48"/>
      <c r="J33" s="49"/>
      <c r="K33" s="22"/>
      <c r="L33" s="4"/>
      <c r="Q33" s="60">
        <v>64</v>
      </c>
      <c r="R33" s="61">
        <v>68.8</v>
      </c>
      <c r="S33" s="60">
        <v>33.200000000000003</v>
      </c>
      <c r="T33" s="61">
        <v>80</v>
      </c>
    </row>
    <row r="34" spans="1:20" x14ac:dyDescent="0.25">
      <c r="A34" s="56">
        <f t="shared" si="4"/>
        <v>16</v>
      </c>
      <c r="B34" s="56">
        <f t="shared" si="0"/>
        <v>3</v>
      </c>
      <c r="C34" s="56">
        <f t="shared" si="1"/>
        <v>2</v>
      </c>
      <c r="D34" s="56">
        <f t="shared" si="2"/>
        <v>1</v>
      </c>
      <c r="E34" s="56">
        <f t="shared" si="3"/>
        <v>3</v>
      </c>
      <c r="H34" s="27" t="s">
        <v>0</v>
      </c>
      <c r="I34" s="38">
        <v>1</v>
      </c>
      <c r="J34" s="27"/>
      <c r="K34" s="23"/>
      <c r="L34" s="4"/>
      <c r="Q34" s="60">
        <v>76</v>
      </c>
      <c r="R34" s="61">
        <v>100</v>
      </c>
      <c r="S34" s="60">
        <v>84.5</v>
      </c>
      <c r="T34" s="61">
        <v>98</v>
      </c>
    </row>
    <row r="35" spans="1:20" x14ac:dyDescent="0.25">
      <c r="A35" s="56">
        <f t="shared" si="4"/>
        <v>17</v>
      </c>
      <c r="B35" s="56">
        <f t="shared" si="0"/>
        <v>1</v>
      </c>
      <c r="C35" s="56">
        <f t="shared" si="1"/>
        <v>3</v>
      </c>
      <c r="D35" s="56">
        <f t="shared" si="2"/>
        <v>1</v>
      </c>
      <c r="E35" s="56">
        <f t="shared" si="3"/>
        <v>2</v>
      </c>
      <c r="H35" s="23" t="s">
        <v>10</v>
      </c>
      <c r="I35" s="24">
        <f>AVERAGE(I25:L25)</f>
        <v>2.3611111111111107</v>
      </c>
      <c r="J35" s="24"/>
      <c r="K35" s="24"/>
      <c r="L35" s="13"/>
      <c r="Q35" s="60">
        <v>73.8</v>
      </c>
      <c r="R35" s="61">
        <v>100</v>
      </c>
      <c r="S35" s="60">
        <v>45</v>
      </c>
      <c r="T35" s="61">
        <v>95.6</v>
      </c>
    </row>
    <row r="36" spans="1:20" x14ac:dyDescent="0.25">
      <c r="A36" s="56">
        <f t="shared" si="4"/>
        <v>18</v>
      </c>
      <c r="B36" s="56">
        <f t="shared" si="0"/>
        <v>3</v>
      </c>
      <c r="C36" s="56">
        <f t="shared" si="1"/>
        <v>3</v>
      </c>
      <c r="D36" s="56">
        <f t="shared" si="2"/>
        <v>3</v>
      </c>
      <c r="E36" s="56">
        <f t="shared" si="3"/>
        <v>3</v>
      </c>
      <c r="H36" s="25" t="s">
        <v>49</v>
      </c>
      <c r="I36" s="26">
        <f>_xlfn.STDEV.P(I25:L25)</f>
        <v>0.48032267960529557</v>
      </c>
      <c r="J36" s="26"/>
      <c r="K36" s="26"/>
      <c r="L36" s="13"/>
      <c r="Q36" s="60">
        <v>70</v>
      </c>
      <c r="R36" s="61">
        <v>99.25</v>
      </c>
      <c r="S36" s="60">
        <v>70</v>
      </c>
      <c r="T36" s="61">
        <v>92</v>
      </c>
    </row>
    <row r="37" spans="1:20" x14ac:dyDescent="0.25">
      <c r="A37" s="56">
        <f t="shared" si="4"/>
        <v>19</v>
      </c>
      <c r="B37" s="56">
        <f t="shared" si="0"/>
        <v>3</v>
      </c>
      <c r="C37" s="56">
        <f t="shared" si="1"/>
        <v>2</v>
      </c>
      <c r="D37" s="56">
        <f t="shared" si="2"/>
        <v>3</v>
      </c>
      <c r="E37" s="56">
        <f t="shared" si="3"/>
        <v>3</v>
      </c>
      <c r="Q37" s="60">
        <v>72</v>
      </c>
      <c r="R37" s="61">
        <v>44</v>
      </c>
      <c r="S37" s="60">
        <v>85</v>
      </c>
      <c r="T37" s="61">
        <v>66.8</v>
      </c>
    </row>
    <row r="38" spans="1:20" x14ac:dyDescent="0.25">
      <c r="A38" s="56">
        <f t="shared" si="4"/>
        <v>20</v>
      </c>
      <c r="B38" s="56">
        <f t="shared" si="0"/>
        <v>3</v>
      </c>
      <c r="C38" s="56">
        <f t="shared" si="1"/>
        <v>3</v>
      </c>
      <c r="D38" s="56">
        <f t="shared" si="2"/>
        <v>3</v>
      </c>
      <c r="E38" s="56">
        <f t="shared" si="3"/>
        <v>3</v>
      </c>
      <c r="Q38" s="60">
        <v>68</v>
      </c>
      <c r="R38" s="61">
        <v>84.35</v>
      </c>
      <c r="S38" s="60">
        <v>33.200000000000003</v>
      </c>
      <c r="T38" s="61">
        <v>89</v>
      </c>
    </row>
    <row r="39" spans="1:20" x14ac:dyDescent="0.25">
      <c r="A39" s="56">
        <f t="shared" si="4"/>
        <v>21</v>
      </c>
      <c r="B39" s="56">
        <f t="shared" si="0"/>
        <v>3</v>
      </c>
      <c r="C39" s="56">
        <f t="shared" si="1"/>
        <v>3</v>
      </c>
      <c r="D39" s="56">
        <f t="shared" si="2"/>
        <v>3</v>
      </c>
      <c r="E39" s="56">
        <f t="shared" si="3"/>
        <v>3</v>
      </c>
      <c r="Q39" s="60">
        <v>63.8</v>
      </c>
      <c r="R39" s="61">
        <v>85</v>
      </c>
      <c r="S39" s="60">
        <v>28.5</v>
      </c>
      <c r="T39" s="61">
        <v>79.8</v>
      </c>
    </row>
    <row r="40" spans="1:20" x14ac:dyDescent="0.25">
      <c r="A40" s="56">
        <f t="shared" si="4"/>
        <v>22</v>
      </c>
      <c r="B40" s="56">
        <f t="shared" si="0"/>
        <v>3</v>
      </c>
      <c r="C40" s="56">
        <f t="shared" si="1"/>
        <v>3</v>
      </c>
      <c r="D40" s="56">
        <f t="shared" si="2"/>
        <v>1</v>
      </c>
      <c r="E40" s="56">
        <f t="shared" si="3"/>
        <v>3</v>
      </c>
      <c r="Q40" s="60">
        <v>27.5</v>
      </c>
      <c r="R40" s="61">
        <v>61.5</v>
      </c>
      <c r="S40" s="60">
        <v>33.200000000000003</v>
      </c>
      <c r="T40" s="61">
        <v>96</v>
      </c>
    </row>
    <row r="41" spans="1:20" x14ac:dyDescent="0.25">
      <c r="A41" s="56">
        <f t="shared" si="4"/>
        <v>23</v>
      </c>
      <c r="B41" s="56">
        <f t="shared" si="0"/>
        <v>3</v>
      </c>
      <c r="C41" s="56">
        <f t="shared" si="1"/>
        <v>3</v>
      </c>
      <c r="D41" s="56">
        <f t="shared" si="2"/>
        <v>1</v>
      </c>
      <c r="E41" s="56">
        <f t="shared" si="3"/>
        <v>3</v>
      </c>
      <c r="Q41" s="60">
        <v>78</v>
      </c>
      <c r="R41" s="61">
        <v>100</v>
      </c>
      <c r="S41" s="60">
        <v>74</v>
      </c>
      <c r="T41" s="61">
        <v>90.8</v>
      </c>
    </row>
    <row r="42" spans="1:20" x14ac:dyDescent="0.25">
      <c r="A42" s="56">
        <f t="shared" si="4"/>
        <v>24</v>
      </c>
      <c r="B42" s="56">
        <f t="shared" si="0"/>
        <v>3</v>
      </c>
      <c r="C42" s="56">
        <f t="shared" si="1"/>
        <v>3</v>
      </c>
      <c r="D42" s="56">
        <f t="shared" si="2"/>
        <v>2</v>
      </c>
      <c r="E42" s="56">
        <f t="shared" si="3"/>
        <v>3</v>
      </c>
      <c r="Q42" s="60">
        <v>49.8</v>
      </c>
      <c r="R42" s="61">
        <v>73.099999999999994</v>
      </c>
      <c r="S42" s="60">
        <v>14.5</v>
      </c>
      <c r="T42" s="61">
        <v>80</v>
      </c>
    </row>
    <row r="43" spans="1:20" x14ac:dyDescent="0.25">
      <c r="A43" s="56">
        <f t="shared" si="4"/>
        <v>25</v>
      </c>
      <c r="B43" s="56">
        <f t="shared" si="0"/>
        <v>3</v>
      </c>
      <c r="C43" s="56">
        <f t="shared" si="1"/>
        <v>3</v>
      </c>
      <c r="D43" s="56">
        <f t="shared" si="2"/>
        <v>2</v>
      </c>
      <c r="E43" s="56">
        <f t="shared" si="3"/>
        <v>3</v>
      </c>
      <c r="Q43" s="60">
        <v>21</v>
      </c>
      <c r="R43" s="61">
        <v>73.75</v>
      </c>
      <c r="S43" s="60">
        <v>30.5</v>
      </c>
      <c r="T43" s="61">
        <v>77</v>
      </c>
    </row>
    <row r="44" spans="1:20" x14ac:dyDescent="0.25">
      <c r="A44" s="56">
        <f t="shared" si="4"/>
        <v>26</v>
      </c>
      <c r="B44" s="56">
        <f t="shared" si="0"/>
        <v>3</v>
      </c>
      <c r="C44" s="56">
        <f t="shared" si="1"/>
        <v>2</v>
      </c>
      <c r="D44" s="56">
        <f t="shared" si="2"/>
        <v>1</v>
      </c>
      <c r="E44" s="56">
        <f t="shared" si="3"/>
        <v>3</v>
      </c>
      <c r="Q44" s="60">
        <v>63</v>
      </c>
      <c r="R44" s="61">
        <v>56.25</v>
      </c>
      <c r="S44" s="60">
        <v>33.200000000000003</v>
      </c>
      <c r="T44" s="61">
        <v>94.8</v>
      </c>
    </row>
    <row r="45" spans="1:20" x14ac:dyDescent="0.25">
      <c r="A45" s="56">
        <f t="shared" si="4"/>
        <v>27</v>
      </c>
      <c r="B45" s="56">
        <f t="shared" si="0"/>
        <v>3</v>
      </c>
      <c r="C45" s="56">
        <f t="shared" si="1"/>
        <v>3</v>
      </c>
      <c r="D45" s="56">
        <f t="shared" si="2"/>
        <v>1</v>
      </c>
      <c r="E45" s="56">
        <f t="shared" si="3"/>
        <v>3</v>
      </c>
      <c r="Q45" s="60">
        <v>67</v>
      </c>
      <c r="R45" s="61">
        <v>99.3</v>
      </c>
      <c r="S45" s="60">
        <v>75</v>
      </c>
      <c r="T45" s="61">
        <v>92</v>
      </c>
    </row>
    <row r="46" spans="1:20" x14ac:dyDescent="0.25">
      <c r="A46" s="56">
        <f t="shared" si="4"/>
        <v>28</v>
      </c>
      <c r="B46" s="56">
        <f t="shared" si="0"/>
        <v>3</v>
      </c>
      <c r="C46" s="56">
        <f t="shared" si="1"/>
        <v>3</v>
      </c>
      <c r="D46" s="56">
        <f t="shared" si="2"/>
        <v>3</v>
      </c>
      <c r="E46" s="56">
        <f t="shared" si="3"/>
        <v>3</v>
      </c>
      <c r="Q46" s="60">
        <v>69</v>
      </c>
      <c r="R46" s="61">
        <v>98</v>
      </c>
      <c r="S46" s="60">
        <v>30.5</v>
      </c>
      <c r="T46" s="61">
        <v>84</v>
      </c>
    </row>
    <row r="47" spans="1:20" x14ac:dyDescent="0.25">
      <c r="A47" s="56">
        <f t="shared" si="4"/>
        <v>29</v>
      </c>
      <c r="B47" s="56">
        <f t="shared" si="0"/>
        <v>1</v>
      </c>
      <c r="C47" s="56">
        <f t="shared" si="1"/>
        <v>3</v>
      </c>
      <c r="D47" s="56">
        <f t="shared" si="2"/>
        <v>1</v>
      </c>
      <c r="E47" s="56">
        <f t="shared" si="3"/>
        <v>3</v>
      </c>
      <c r="Q47" s="60">
        <v>14</v>
      </c>
      <c r="R47" s="61">
        <v>68</v>
      </c>
      <c r="S47" s="60">
        <v>30.5</v>
      </c>
      <c r="T47" s="61">
        <v>76.400000000000006</v>
      </c>
    </row>
    <row r="48" spans="1:20" x14ac:dyDescent="0.25">
      <c r="A48" s="56">
        <f t="shared" si="4"/>
        <v>30</v>
      </c>
      <c r="B48" s="56">
        <f t="shared" si="0"/>
        <v>3</v>
      </c>
      <c r="C48" s="56">
        <f t="shared" si="1"/>
        <v>2</v>
      </c>
      <c r="D48" s="56">
        <f t="shared" si="2"/>
        <v>1</v>
      </c>
      <c r="E48" s="56">
        <f t="shared" si="3"/>
        <v>3</v>
      </c>
      <c r="Q48" s="60">
        <v>63</v>
      </c>
      <c r="R48" s="61">
        <v>47.25</v>
      </c>
      <c r="S48" s="60">
        <v>23.2</v>
      </c>
      <c r="T48" s="61">
        <v>96</v>
      </c>
    </row>
    <row r="49" spans="1:20" x14ac:dyDescent="0.25">
      <c r="A49" s="56">
        <f t="shared" si="4"/>
        <v>31</v>
      </c>
      <c r="B49" s="56">
        <f t="shared" si="0"/>
        <v>3</v>
      </c>
      <c r="C49" s="56">
        <f t="shared" si="1"/>
        <v>3</v>
      </c>
      <c r="D49" s="56">
        <f t="shared" si="2"/>
        <v>1</v>
      </c>
      <c r="E49" s="56">
        <f t="shared" si="3"/>
        <v>3</v>
      </c>
      <c r="Q49" s="60">
        <v>53.5</v>
      </c>
      <c r="R49" s="61">
        <v>62.75</v>
      </c>
      <c r="S49" s="60">
        <v>33.200000000000003</v>
      </c>
      <c r="T49" s="61">
        <v>90</v>
      </c>
    </row>
    <row r="50" spans="1:20" x14ac:dyDescent="0.25">
      <c r="A50" s="56">
        <f t="shared" si="4"/>
        <v>32</v>
      </c>
      <c r="B50" s="56">
        <f t="shared" si="0"/>
        <v>3</v>
      </c>
      <c r="C50" s="56">
        <f t="shared" si="1"/>
        <v>3</v>
      </c>
      <c r="D50" s="56">
        <f t="shared" si="2"/>
        <v>3</v>
      </c>
      <c r="E50" s="56">
        <f t="shared" si="3"/>
        <v>3</v>
      </c>
      <c r="Q50" s="60">
        <v>73</v>
      </c>
      <c r="R50" s="61">
        <v>98</v>
      </c>
      <c r="S50" s="60">
        <v>60.5</v>
      </c>
      <c r="T50" s="61">
        <v>90.8</v>
      </c>
    </row>
    <row r="51" spans="1:20" x14ac:dyDescent="0.25">
      <c r="A51" s="56">
        <f t="shared" si="4"/>
        <v>33</v>
      </c>
      <c r="B51" s="56">
        <f t="shared" si="0"/>
        <v>3</v>
      </c>
      <c r="C51" s="56">
        <f t="shared" si="1"/>
        <v>3</v>
      </c>
      <c r="D51" s="56">
        <f t="shared" si="2"/>
        <v>2</v>
      </c>
      <c r="E51" s="56">
        <f t="shared" si="3"/>
        <v>3</v>
      </c>
      <c r="Q51" s="60">
        <v>75</v>
      </c>
      <c r="R51" s="61">
        <v>100</v>
      </c>
      <c r="S51" s="60">
        <v>84.5</v>
      </c>
      <c r="T51" s="61">
        <v>98</v>
      </c>
    </row>
    <row r="52" spans="1:20" x14ac:dyDescent="0.25">
      <c r="A52" s="56">
        <f t="shared" si="4"/>
        <v>34</v>
      </c>
      <c r="B52" s="56">
        <f t="shared" si="0"/>
        <v>3</v>
      </c>
      <c r="C52" s="56">
        <f t="shared" si="1"/>
        <v>3</v>
      </c>
      <c r="D52" s="56">
        <f t="shared" si="2"/>
        <v>3</v>
      </c>
      <c r="E52" s="56">
        <f t="shared" si="3"/>
        <v>3</v>
      </c>
      <c r="Q52" s="60">
        <v>67.8</v>
      </c>
      <c r="R52" s="61">
        <v>65.8</v>
      </c>
      <c r="S52" s="60">
        <v>30.5</v>
      </c>
      <c r="T52" s="61">
        <v>48</v>
      </c>
    </row>
    <row r="53" spans="1:20" x14ac:dyDescent="0.25">
      <c r="A53" s="56">
        <f t="shared" si="4"/>
        <v>35</v>
      </c>
      <c r="B53" s="56">
        <f t="shared" si="0"/>
        <v>3</v>
      </c>
      <c r="C53" s="56">
        <f t="shared" si="1"/>
        <v>2</v>
      </c>
      <c r="D53" s="56">
        <f t="shared" si="2"/>
        <v>3</v>
      </c>
      <c r="E53" s="56">
        <f t="shared" si="3"/>
        <v>3</v>
      </c>
      <c r="F53" s="4"/>
      <c r="Q53" s="60">
        <v>66</v>
      </c>
      <c r="R53" s="61">
        <v>99.25</v>
      </c>
      <c r="S53" s="60">
        <v>55</v>
      </c>
      <c r="T53" s="61">
        <v>98</v>
      </c>
    </row>
    <row r="54" spans="1:20" x14ac:dyDescent="0.25">
      <c r="A54" s="56">
        <f t="shared" si="4"/>
        <v>36</v>
      </c>
      <c r="B54" s="56">
        <f t="shared" si="0"/>
        <v>3</v>
      </c>
      <c r="C54" s="56">
        <f t="shared" si="1"/>
        <v>3</v>
      </c>
      <c r="D54" s="56">
        <f t="shared" si="2"/>
        <v>1</v>
      </c>
      <c r="E54" s="56">
        <f t="shared" si="3"/>
        <v>3</v>
      </c>
      <c r="F54" s="4"/>
      <c r="Q54" s="62">
        <v>59</v>
      </c>
      <c r="R54" s="63">
        <v>49.5</v>
      </c>
      <c r="S54" s="62">
        <v>23.2</v>
      </c>
      <c r="T54" s="63">
        <v>95.4</v>
      </c>
    </row>
    <row r="55" spans="1:20" x14ac:dyDescent="0.25">
      <c r="A55" s="56">
        <f t="shared" si="4"/>
        <v>37</v>
      </c>
      <c r="B55" s="56">
        <f t="shared" si="0"/>
        <v>3</v>
      </c>
      <c r="C55" s="56">
        <f t="shared" si="1"/>
        <v>3</v>
      </c>
      <c r="D55" s="56">
        <f t="shared" si="2"/>
        <v>1</v>
      </c>
      <c r="E55" s="56">
        <f t="shared" si="3"/>
        <v>3</v>
      </c>
      <c r="F55" s="13"/>
    </row>
    <row r="56" spans="1:20" x14ac:dyDescent="0.25">
      <c r="A56" s="56">
        <f t="shared" si="4"/>
        <v>38</v>
      </c>
      <c r="B56" s="56">
        <f t="shared" si="0"/>
        <v>1</v>
      </c>
      <c r="C56" s="56">
        <f t="shared" si="1"/>
        <v>3</v>
      </c>
      <c r="D56" s="56">
        <f t="shared" si="2"/>
        <v>1</v>
      </c>
      <c r="E56" s="56">
        <f t="shared" si="3"/>
        <v>3</v>
      </c>
      <c r="F56" s="13"/>
    </row>
    <row r="57" spans="1:20" x14ac:dyDescent="0.25">
      <c r="A57" s="56">
        <f t="shared" si="4"/>
        <v>39</v>
      </c>
      <c r="B57" s="56">
        <f t="shared" si="0"/>
        <v>3</v>
      </c>
      <c r="C57" s="56">
        <f t="shared" si="1"/>
        <v>3</v>
      </c>
      <c r="D57" s="56">
        <f t="shared" si="2"/>
        <v>3</v>
      </c>
      <c r="E57" s="56">
        <f t="shared" si="3"/>
        <v>3</v>
      </c>
      <c r="F57" s="4"/>
    </row>
    <row r="58" spans="1:20" x14ac:dyDescent="0.25">
      <c r="A58" s="56">
        <f t="shared" si="4"/>
        <v>40</v>
      </c>
      <c r="B58" s="56">
        <f t="shared" si="0"/>
        <v>2</v>
      </c>
      <c r="C58" s="56">
        <f t="shared" si="1"/>
        <v>3</v>
      </c>
      <c r="D58" s="56">
        <f t="shared" si="2"/>
        <v>1</v>
      </c>
      <c r="E58" s="56">
        <f t="shared" si="3"/>
        <v>3</v>
      </c>
    </row>
    <row r="59" spans="1:20" x14ac:dyDescent="0.25">
      <c r="A59" s="56">
        <f t="shared" si="4"/>
        <v>41</v>
      </c>
      <c r="B59" s="56">
        <f t="shared" si="0"/>
        <v>1</v>
      </c>
      <c r="C59" s="56">
        <f t="shared" si="1"/>
        <v>3</v>
      </c>
      <c r="D59" s="56">
        <f t="shared" si="2"/>
        <v>1</v>
      </c>
      <c r="E59" s="56">
        <f t="shared" si="3"/>
        <v>3</v>
      </c>
    </row>
    <row r="60" spans="1:20" x14ac:dyDescent="0.25">
      <c r="A60" s="56">
        <f t="shared" si="4"/>
        <v>42</v>
      </c>
      <c r="B60" s="56">
        <f t="shared" si="0"/>
        <v>3</v>
      </c>
      <c r="C60" s="56">
        <f t="shared" si="1"/>
        <v>2</v>
      </c>
      <c r="D60" s="56">
        <f t="shared" si="2"/>
        <v>1</v>
      </c>
      <c r="E60" s="56">
        <f t="shared" si="3"/>
        <v>3</v>
      </c>
    </row>
    <row r="61" spans="1:20" x14ac:dyDescent="0.25">
      <c r="A61" s="56">
        <f t="shared" si="4"/>
        <v>43</v>
      </c>
      <c r="B61" s="56">
        <f t="shared" si="0"/>
        <v>3</v>
      </c>
      <c r="C61" s="56">
        <f t="shared" si="1"/>
        <v>3</v>
      </c>
      <c r="D61" s="56">
        <f t="shared" si="2"/>
        <v>3</v>
      </c>
      <c r="E61" s="56">
        <f t="shared" si="3"/>
        <v>3</v>
      </c>
      <c r="F61" s="4"/>
      <c r="G61" s="4"/>
    </row>
    <row r="62" spans="1:20" x14ac:dyDescent="0.25">
      <c r="A62" s="56">
        <f t="shared" si="4"/>
        <v>44</v>
      </c>
      <c r="B62" s="56">
        <f t="shared" si="0"/>
        <v>3</v>
      </c>
      <c r="C62" s="56">
        <f t="shared" si="1"/>
        <v>3</v>
      </c>
      <c r="D62" s="56">
        <f t="shared" si="2"/>
        <v>1</v>
      </c>
      <c r="E62" s="56">
        <f t="shared" si="3"/>
        <v>3</v>
      </c>
      <c r="F62" s="4"/>
      <c r="G62" s="4"/>
    </row>
    <row r="63" spans="1:20" x14ac:dyDescent="0.25">
      <c r="A63" s="56">
        <f t="shared" si="4"/>
        <v>45</v>
      </c>
      <c r="B63" s="56">
        <f t="shared" si="0"/>
        <v>1</v>
      </c>
      <c r="C63" s="56">
        <f t="shared" si="1"/>
        <v>3</v>
      </c>
      <c r="D63" s="56">
        <f t="shared" si="2"/>
        <v>1</v>
      </c>
      <c r="E63" s="56">
        <f t="shared" si="3"/>
        <v>3</v>
      </c>
      <c r="F63" s="4"/>
      <c r="G63" s="4"/>
    </row>
    <row r="64" spans="1:20" x14ac:dyDescent="0.25">
      <c r="A64" s="56">
        <f t="shared" si="4"/>
        <v>46</v>
      </c>
      <c r="B64" s="56">
        <f t="shared" si="0"/>
        <v>3</v>
      </c>
      <c r="C64" s="56">
        <f t="shared" si="1"/>
        <v>2</v>
      </c>
      <c r="D64" s="56">
        <f t="shared" si="2"/>
        <v>1</v>
      </c>
      <c r="E64" s="56">
        <f t="shared" si="3"/>
        <v>3</v>
      </c>
      <c r="F64" s="4"/>
      <c r="G64" s="4"/>
    </row>
    <row r="65" spans="1:13" x14ac:dyDescent="0.25">
      <c r="A65" s="56">
        <f t="shared" si="4"/>
        <v>47</v>
      </c>
      <c r="B65" s="56">
        <f t="shared" si="0"/>
        <v>2</v>
      </c>
      <c r="C65" s="56">
        <f t="shared" si="1"/>
        <v>3</v>
      </c>
      <c r="D65" s="56">
        <f t="shared" si="2"/>
        <v>1</v>
      </c>
      <c r="E65" s="56">
        <f t="shared" si="3"/>
        <v>3</v>
      </c>
    </row>
    <row r="66" spans="1:13" x14ac:dyDescent="0.25">
      <c r="A66" s="56">
        <f t="shared" si="4"/>
        <v>48</v>
      </c>
      <c r="B66" s="56">
        <f t="shared" si="0"/>
        <v>3</v>
      </c>
      <c r="C66" s="56">
        <f t="shared" si="1"/>
        <v>3</v>
      </c>
      <c r="D66" s="56">
        <f t="shared" si="2"/>
        <v>3</v>
      </c>
      <c r="E66" s="56">
        <f t="shared" si="3"/>
        <v>3</v>
      </c>
    </row>
    <row r="67" spans="1:13" x14ac:dyDescent="0.25">
      <c r="A67" s="56">
        <f t="shared" si="4"/>
        <v>49</v>
      </c>
      <c r="B67" s="56">
        <f t="shared" si="0"/>
        <v>3</v>
      </c>
      <c r="C67" s="56">
        <f t="shared" si="1"/>
        <v>3</v>
      </c>
      <c r="D67" s="56">
        <f t="shared" si="2"/>
        <v>3</v>
      </c>
      <c r="E67" s="56">
        <f t="shared" si="3"/>
        <v>3</v>
      </c>
    </row>
    <row r="68" spans="1:13" x14ac:dyDescent="0.25">
      <c r="A68" s="56">
        <f t="shared" si="4"/>
        <v>50</v>
      </c>
      <c r="B68" s="56">
        <f t="shared" si="0"/>
        <v>3</v>
      </c>
      <c r="C68" s="56">
        <f t="shared" si="1"/>
        <v>3</v>
      </c>
      <c r="D68" s="56">
        <f t="shared" si="2"/>
        <v>1</v>
      </c>
      <c r="E68" s="56">
        <f t="shared" si="3"/>
        <v>2</v>
      </c>
    </row>
    <row r="69" spans="1:13" x14ac:dyDescent="0.25">
      <c r="A69" s="56">
        <f t="shared" si="4"/>
        <v>51</v>
      </c>
      <c r="B69" s="56">
        <f t="shared" si="0"/>
        <v>3</v>
      </c>
      <c r="C69" s="56">
        <f t="shared" si="1"/>
        <v>3</v>
      </c>
      <c r="D69" s="56">
        <f t="shared" si="2"/>
        <v>2</v>
      </c>
      <c r="E69" s="56">
        <f t="shared" si="3"/>
        <v>3</v>
      </c>
      <c r="I69" s="2"/>
      <c r="J69" s="2"/>
      <c r="K69" s="2"/>
      <c r="L69" s="2"/>
      <c r="M69" s="2"/>
    </row>
    <row r="70" spans="1:13" x14ac:dyDescent="0.25">
      <c r="A70" s="56">
        <f t="shared" si="4"/>
        <v>52</v>
      </c>
      <c r="B70" s="56">
        <f t="shared" si="0"/>
        <v>2</v>
      </c>
      <c r="C70" s="56">
        <f t="shared" si="1"/>
        <v>2</v>
      </c>
      <c r="D70" s="56">
        <f t="shared" si="2"/>
        <v>1</v>
      </c>
      <c r="E70" s="56">
        <f t="shared" si="3"/>
        <v>3</v>
      </c>
    </row>
    <row r="111" spans="17:18" x14ac:dyDescent="0.25">
      <c r="Q111" s="4"/>
      <c r="R111" s="4"/>
    </row>
    <row r="112" spans="17:18" x14ac:dyDescent="0.25">
      <c r="Q112" s="4"/>
      <c r="R112" s="4"/>
    </row>
    <row r="113" spans="1:18" x14ac:dyDescent="0.25">
      <c r="Q113" s="4"/>
      <c r="R113" s="4"/>
    </row>
    <row r="114" spans="1:18" x14ac:dyDescent="0.25">
      <c r="Q114" s="4"/>
      <c r="R114" s="4"/>
    </row>
    <row r="115" spans="1:18" x14ac:dyDescent="0.25">
      <c r="Q115" s="4"/>
      <c r="R115" s="4"/>
    </row>
    <row r="116" spans="1:18" x14ac:dyDescent="0.25">
      <c r="Q116" s="4"/>
      <c r="R116" s="4"/>
    </row>
    <row r="117" spans="1:18" x14ac:dyDescent="0.25">
      <c r="Q117" s="4"/>
      <c r="R117" s="4"/>
    </row>
    <row r="118" spans="1:18" x14ac:dyDescent="0.25">
      <c r="Q118" s="4"/>
      <c r="R118" s="4"/>
    </row>
    <row r="119" spans="1:18" x14ac:dyDescent="0.25">
      <c r="Q119" s="4"/>
      <c r="R119" s="4"/>
    </row>
    <row r="120" spans="1:18" x14ac:dyDescent="0.25">
      <c r="Q120" s="4"/>
      <c r="R120" s="4"/>
    </row>
    <row r="121" spans="1:18" x14ac:dyDescent="0.25">
      <c r="Q121" s="4"/>
      <c r="R121" s="4"/>
    </row>
    <row r="122" spans="1:18" x14ac:dyDescent="0.25">
      <c r="Q122" s="4"/>
      <c r="R122" s="4"/>
    </row>
    <row r="123" spans="1:18" x14ac:dyDescent="0.25">
      <c r="Q123" s="4"/>
      <c r="R123" s="4"/>
    </row>
    <row r="124" spans="1:18" x14ac:dyDescent="0.25">
      <c r="Q124" s="4"/>
      <c r="R124" s="4"/>
    </row>
    <row r="125" spans="1:18" x14ac:dyDescent="0.25">
      <c r="A125" s="4"/>
      <c r="B125" s="4"/>
      <c r="C125" s="4"/>
      <c r="D125" s="4"/>
      <c r="E125" s="4"/>
      <c r="F125" s="4"/>
      <c r="G125" s="4"/>
      <c r="N125" s="4"/>
      <c r="O125" s="4"/>
      <c r="P125" s="4"/>
      <c r="Q125" s="4"/>
      <c r="R125" s="4"/>
    </row>
    <row r="126" spans="1:1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x14ac:dyDescent="0.25">
      <c r="A138" s="4"/>
      <c r="B138" s="4"/>
      <c r="C138" s="4"/>
      <c r="D138" s="4"/>
      <c r="E138" s="4"/>
      <c r="F138" s="4"/>
      <c r="G138" s="4"/>
      <c r="H138" s="6"/>
      <c r="I138" s="6"/>
      <c r="J138" s="6"/>
      <c r="K138" s="6"/>
      <c r="L138" s="6"/>
      <c r="M138" s="6"/>
      <c r="N138" s="4"/>
      <c r="O138" s="4"/>
      <c r="P138" s="4"/>
      <c r="Q138" s="4"/>
      <c r="R138" s="4"/>
    </row>
    <row r="139" spans="1:1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8" x14ac:dyDescent="0.25">
      <c r="H240" s="4"/>
      <c r="I240" s="4"/>
      <c r="J240" s="4"/>
      <c r="K240" s="4"/>
      <c r="L240" s="4"/>
      <c r="M240" s="4"/>
    </row>
  </sheetData>
  <sortState ref="D19:D39">
    <sortCondition ref="D19:D39"/>
  </sortState>
  <mergeCells count="4">
    <mergeCell ref="H33:J33"/>
    <mergeCell ref="F1:H1"/>
    <mergeCell ref="Q1:T1"/>
    <mergeCell ref="H22:L2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Michael</cp:lastModifiedBy>
  <dcterms:created xsi:type="dcterms:W3CDTF">2013-01-15T05:38:26Z</dcterms:created>
  <dcterms:modified xsi:type="dcterms:W3CDTF">2020-05-13T19:52:47Z</dcterms:modified>
</cp:coreProperties>
</file>