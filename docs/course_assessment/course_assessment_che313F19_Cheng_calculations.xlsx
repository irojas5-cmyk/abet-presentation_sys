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\Google Drive\Class\ABET\"/>
    </mc:Choice>
  </mc:AlternateContent>
  <xr:revisionPtr revIDLastSave="0" documentId="13_ncr:1_{79239D91-832D-48A1-B353-540B1A02F45A}" xr6:coauthVersionLast="45" xr6:coauthVersionMax="45" xr10:uidLastSave="{00000000-0000-0000-0000-000000000000}"/>
  <bookViews>
    <workbookView xWindow="-108" yWindow="-108" windowWidth="41496" windowHeight="169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2" i="1" l="1"/>
  <c r="C51" i="1"/>
  <c r="B52" i="1"/>
  <c r="B51" i="1"/>
  <c r="B62" i="1" l="1"/>
  <c r="B61" i="1"/>
  <c r="C57" i="1"/>
  <c r="B57" i="1"/>
</calcChain>
</file>

<file path=xl/sharedStrings.xml><?xml version="1.0" encoding="utf-8"?>
<sst xmlns="http://schemas.openxmlformats.org/spreadsheetml/2006/main" count="54" uniqueCount="47">
  <si>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</si>
  <si>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</si>
  <si>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</si>
  <si>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</si>
  <si>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</si>
  <si>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</si>
  <si>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</si>
  <si>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</si>
  <si>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</si>
  <si>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</si>
  <si>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</si>
  <si>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</si>
  <si>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</si>
  <si>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</si>
  <si>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</si>
  <si>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</si>
  <si>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</si>
  <si>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Introduction to Engineering Thermodynamics</t>
  </si>
  <si>
    <t>Rubric #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</si>
  <si>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</si>
  <si>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</si>
  <si>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</si>
  <si>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</si>
  <si>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</si>
  <si>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</si>
  <si>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</si>
  <si>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</si>
  <si>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</si>
  <si>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</si>
  <si>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</si>
  <si>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</si>
  <si>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</si>
  <si>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</si>
  <si>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</si>
  <si>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</si>
  <si>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</si>
  <si>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</si>
  <si>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CHE 313 Fall 2019</t>
  </si>
  <si>
    <t>Prepared by Gang Cheng</t>
  </si>
  <si>
    <t>Assessment rubric: Final exam,  Problem D</t>
  </si>
  <si>
    <t xml:space="preserve">D(a), </t>
  </si>
  <si>
    <t>D(b)</t>
  </si>
  <si>
    <t>D (a)</t>
  </si>
  <si>
    <t>D (b)</t>
  </si>
  <si>
    <t>&gt;7</t>
  </si>
  <si>
    <t>&lt;5</t>
  </si>
  <si>
    <t>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</si>
</sst>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" fontId="0" fillId="0" borderId="0" xfId="0" applyNumberFormat="1"/>
    <xf numFmtId="166" fontId="0" fillId="0" borderId="0" xfId="0" applyNumberFormat="1"/>
    <xf numFmtId="49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1"/>
  <sheetViews>
    <sheetView tabSelected="1" workbookViewId="0">
      <selection activeCell="B62" sqref="B62"/>
    </sheetView>
  </sheetViews>
  <sheetFormatPr defaultRowHeight="14.4" x14ac:dyDescent="0.3"/>
  <cols>
    <col min="1" max="1" width="27.6640625" customWidth="1"/>
    <col min="2" max="2" width="11.5546875" customWidth="1"/>
    <col min="3" max="3" width="11" customWidth="1"/>
    <col min="7" max="7" width="9.109375" customWidth="1"/>
    <col min="10" max="10" width="16" customWidth="1"/>
    <col min="11" max="11" width="17.44140625" customWidth="1"/>
    <col min="12" max="12" width="16.109375" customWidth="1"/>
    <col min="14" max="14" width="9.109375" customWidth="1"/>
  </cols>
  <sheetData>
    <row r="1" spans="1:21" x14ac:dyDescent="0.3">
      <c r="A1" s="1" t="s">
        <v>37</v>
      </c>
      <c r="E1" s="1" t="s">
        <v>24</v>
      </c>
    </row>
    <row r="2" spans="1:21" ht="15.6" x14ac:dyDescent="0.3">
      <c r="A2" s="1" t="s">
        <v>17</v>
      </c>
      <c r="E2" s="24" t="s">
        <v>23</v>
      </c>
    </row>
    <row r="3" spans="1:21" x14ac:dyDescent="0.3">
      <c r="A3" s="1" t="s">
        <v>30</v>
      </c>
      <c r="E3" t="s">
        <v>25</v>
      </c>
    </row>
    <row r="4" spans="1:21" x14ac:dyDescent="0.3">
      <c r="A4" s="3" t="s">
        <v>39</v>
      </c>
      <c r="B4" s="3"/>
      <c r="C4" s="3"/>
    </row>
    <row r="5" spans="1:21" x14ac:dyDescent="0.3">
      <c r="A5" s="3" t="s">
        <v>38</v>
      </c>
      <c r="B5" s="3"/>
      <c r="C5" s="3"/>
      <c r="D5" s="3"/>
      <c r="E5" s="1" t="s">
        <v>26</v>
      </c>
      <c r="F5" s="3"/>
    </row>
    <row r="6" spans="1:21" x14ac:dyDescent="0.3">
      <c r="A6" s="3"/>
      <c r="B6" s="3"/>
      <c r="C6" s="3"/>
      <c r="D6" s="3"/>
      <c r="E6" s="3" t="s">
        <v>27</v>
      </c>
      <c r="F6" s="3"/>
    </row>
    <row r="7" spans="1:21" x14ac:dyDescent="0.3">
      <c r="A7" s="3"/>
      <c r="E7" t="s">
        <v>28</v>
      </c>
    </row>
    <row r="8" spans="1:21" x14ac:dyDescent="0.3">
      <c r="E8" t="s">
        <v>29</v>
      </c>
    </row>
    <row r="9" spans="1:21" x14ac:dyDescent="0.3">
      <c r="A9" s="16" t="s">
        <v>16</v>
      </c>
      <c r="B9" s="5"/>
      <c r="C9" s="5"/>
      <c r="E9" t="s">
        <v>33</v>
      </c>
    </row>
    <row r="10" spans="1:21" x14ac:dyDescent="0.3">
      <c r="A10" s="5">
        <v>1</v>
      </c>
      <c r="B10" s="5" t="s">
        <v>1</v>
      </c>
      <c r="C10" s="5"/>
      <c r="E10" t="s">
        <v>34</v>
      </c>
    </row>
    <row r="11" spans="1:21" x14ac:dyDescent="0.3">
      <c r="A11" s="5">
        <v>2</v>
      </c>
      <c r="B11" s="5" t="s">
        <v>2</v>
      </c>
      <c r="C11" s="5"/>
      <c r="E11" t="s">
        <v>35</v>
      </c>
    </row>
    <row r="12" spans="1:21" x14ac:dyDescent="0.3">
      <c r="A12" s="5">
        <v>3</v>
      </c>
      <c r="B12" s="5" t="s">
        <v>3</v>
      </c>
      <c r="C12" s="5"/>
      <c r="E12" t="s">
        <v>36</v>
      </c>
    </row>
    <row r="13" spans="1:21" x14ac:dyDescent="0.3">
      <c r="A13" s="5"/>
      <c r="B13" s="5"/>
      <c r="C13" s="5"/>
      <c r="U13" t="s">
        <v>32</v>
      </c>
    </row>
    <row r="14" spans="1:21" x14ac:dyDescent="0.3">
      <c r="G14" t="s">
        <v>20</v>
      </c>
    </row>
    <row r="15" spans="1:21" x14ac:dyDescent="0.3">
      <c r="A15" s="17" t="s">
        <v>31</v>
      </c>
      <c r="B15" s="17">
        <v>1</v>
      </c>
      <c r="C15" s="17">
        <v>2</v>
      </c>
      <c r="D15" s="17"/>
      <c r="G15" s="22" t="s">
        <v>21</v>
      </c>
      <c r="H15" s="22" t="s">
        <v>19</v>
      </c>
      <c r="I15" s="22" t="s">
        <v>22</v>
      </c>
      <c r="J15" s="22" t="s">
        <v>1</v>
      </c>
      <c r="K15" s="22" t="s">
        <v>2</v>
      </c>
      <c r="L15" s="22" t="s">
        <v>3</v>
      </c>
    </row>
    <row r="16" spans="1:21" x14ac:dyDescent="0.3">
      <c r="A16" s="17" t="s">
        <v>19</v>
      </c>
      <c r="B16" s="18" t="s">
        <v>40</v>
      </c>
      <c r="C16" s="18" t="s">
        <v>41</v>
      </c>
      <c r="D16" s="18"/>
      <c r="E16" s="2"/>
      <c r="F16" s="2"/>
      <c r="G16" s="22">
        <v>1</v>
      </c>
      <c r="H16" s="22" t="s">
        <v>42</v>
      </c>
      <c r="I16" s="22">
        <v>10</v>
      </c>
      <c r="J16" s="23" t="s">
        <v>45</v>
      </c>
      <c r="K16" s="27" t="s">
        <v>46</v>
      </c>
      <c r="L16" s="23" t="s">
        <v>44</v>
      </c>
    </row>
    <row r="17" spans="1:12" x14ac:dyDescent="0.3">
      <c r="B17" s="2"/>
      <c r="G17" s="22">
        <v>2</v>
      </c>
      <c r="H17" s="22" t="s">
        <v>43</v>
      </c>
      <c r="I17" s="22">
        <v>10</v>
      </c>
      <c r="J17" s="23" t="s">
        <v>45</v>
      </c>
      <c r="K17" s="27" t="s">
        <v>46</v>
      </c>
      <c r="L17" s="23" t="s">
        <v>44</v>
      </c>
    </row>
    <row r="18" spans="1:12" x14ac:dyDescent="0.3">
      <c r="A18" t="s">
        <v>6</v>
      </c>
      <c r="B18" s="2"/>
    </row>
    <row r="19" spans="1:12" x14ac:dyDescent="0.3">
      <c r="A19" s="19">
        <v>1</v>
      </c>
      <c r="B19" s="19">
        <v>3</v>
      </c>
      <c r="C19" s="19">
        <v>3</v>
      </c>
      <c r="D19" s="25"/>
      <c r="E19" s="26"/>
    </row>
    <row r="20" spans="1:12" x14ac:dyDescent="0.3">
      <c r="A20" s="19">
        <v>2</v>
      </c>
      <c r="B20" s="19">
        <v>2</v>
      </c>
      <c r="C20" s="19">
        <v>2</v>
      </c>
      <c r="D20" s="25"/>
      <c r="E20" s="26"/>
    </row>
    <row r="21" spans="1:12" x14ac:dyDescent="0.3">
      <c r="A21" s="19">
        <v>3</v>
      </c>
      <c r="B21" s="19">
        <v>3</v>
      </c>
      <c r="C21" s="19">
        <v>3</v>
      </c>
      <c r="D21" s="25"/>
      <c r="E21" s="26"/>
    </row>
    <row r="22" spans="1:12" x14ac:dyDescent="0.3">
      <c r="A22" s="19">
        <v>4</v>
      </c>
      <c r="B22" s="19">
        <v>1</v>
      </c>
      <c r="C22" s="19">
        <v>3</v>
      </c>
      <c r="D22" s="25"/>
      <c r="E22" s="26"/>
    </row>
    <row r="23" spans="1:12" x14ac:dyDescent="0.3">
      <c r="A23" s="19">
        <v>5</v>
      </c>
      <c r="B23" s="19">
        <v>3</v>
      </c>
      <c r="C23" s="19">
        <v>3</v>
      </c>
      <c r="D23" s="25"/>
      <c r="E23" s="26"/>
    </row>
    <row r="24" spans="1:12" x14ac:dyDescent="0.3">
      <c r="A24" s="19">
        <v>6</v>
      </c>
      <c r="B24" s="19">
        <v>1</v>
      </c>
      <c r="C24" s="19">
        <v>1</v>
      </c>
      <c r="D24" s="25"/>
      <c r="E24" s="26"/>
    </row>
    <row r="25" spans="1:12" x14ac:dyDescent="0.3">
      <c r="A25" s="19">
        <v>7</v>
      </c>
      <c r="B25" s="19">
        <v>3</v>
      </c>
      <c r="C25" s="19">
        <v>3</v>
      </c>
      <c r="D25" s="25"/>
      <c r="E25" s="26"/>
    </row>
    <row r="26" spans="1:12" x14ac:dyDescent="0.3">
      <c r="A26" s="19">
        <v>8</v>
      </c>
      <c r="B26" s="19">
        <v>1</v>
      </c>
      <c r="C26" s="19">
        <v>1</v>
      </c>
      <c r="D26" s="25"/>
      <c r="E26" s="26"/>
    </row>
    <row r="27" spans="1:12" x14ac:dyDescent="0.3">
      <c r="A27" s="19">
        <v>9</v>
      </c>
      <c r="B27" s="19">
        <v>3</v>
      </c>
      <c r="C27" s="19">
        <v>3</v>
      </c>
      <c r="D27" s="25"/>
      <c r="E27" s="26"/>
    </row>
    <row r="28" spans="1:12" x14ac:dyDescent="0.3">
      <c r="A28" s="19">
        <v>10</v>
      </c>
      <c r="B28" s="19">
        <v>1</v>
      </c>
      <c r="C28" s="19">
        <v>2</v>
      </c>
      <c r="D28" s="25"/>
      <c r="E28" s="26"/>
    </row>
    <row r="29" spans="1:12" x14ac:dyDescent="0.3">
      <c r="A29" s="19">
        <v>11</v>
      </c>
      <c r="B29" s="19">
        <v>2</v>
      </c>
      <c r="C29" s="19">
        <v>3</v>
      </c>
      <c r="D29" s="25"/>
      <c r="E29" s="26"/>
    </row>
    <row r="30" spans="1:12" x14ac:dyDescent="0.3">
      <c r="A30" s="19">
        <v>12</v>
      </c>
      <c r="B30" s="19">
        <v>3</v>
      </c>
      <c r="C30" s="19">
        <v>3</v>
      </c>
      <c r="D30" s="25"/>
      <c r="E30" s="26"/>
    </row>
    <row r="31" spans="1:12" x14ac:dyDescent="0.3">
      <c r="A31" s="19">
        <v>13</v>
      </c>
      <c r="B31" s="19">
        <v>2</v>
      </c>
      <c r="C31" s="19">
        <v>3</v>
      </c>
      <c r="D31" s="25"/>
      <c r="E31" s="26"/>
    </row>
    <row r="32" spans="1:12" x14ac:dyDescent="0.3">
      <c r="A32" s="19">
        <v>14</v>
      </c>
      <c r="B32" s="19">
        <v>3</v>
      </c>
      <c r="C32" s="19">
        <v>3</v>
      </c>
      <c r="D32" s="25"/>
      <c r="E32" s="26"/>
    </row>
    <row r="33" spans="1:5" x14ac:dyDescent="0.3">
      <c r="A33" s="19">
        <v>15</v>
      </c>
      <c r="B33" s="19">
        <v>2</v>
      </c>
      <c r="C33" s="19">
        <v>3</v>
      </c>
      <c r="D33" s="25"/>
      <c r="E33" s="26"/>
    </row>
    <row r="34" spans="1:5" x14ac:dyDescent="0.3">
      <c r="A34" s="19">
        <v>16</v>
      </c>
      <c r="B34" s="19">
        <v>3</v>
      </c>
      <c r="C34" s="19">
        <v>3</v>
      </c>
      <c r="D34" s="25"/>
      <c r="E34" s="26"/>
    </row>
    <row r="35" spans="1:5" x14ac:dyDescent="0.3">
      <c r="A35" s="19">
        <v>17</v>
      </c>
      <c r="B35" s="19">
        <v>3</v>
      </c>
      <c r="C35" s="19">
        <v>3</v>
      </c>
      <c r="D35" s="25"/>
      <c r="E35" s="26"/>
    </row>
    <row r="36" spans="1:5" x14ac:dyDescent="0.3">
      <c r="A36" s="19">
        <v>18</v>
      </c>
      <c r="B36" s="19">
        <v>2</v>
      </c>
      <c r="C36" s="19">
        <v>3</v>
      </c>
      <c r="D36" s="25"/>
      <c r="E36" s="26"/>
    </row>
    <row r="37" spans="1:5" x14ac:dyDescent="0.3">
      <c r="A37" s="19">
        <v>19</v>
      </c>
      <c r="B37" s="19">
        <v>1</v>
      </c>
      <c r="C37" s="19">
        <v>2</v>
      </c>
      <c r="D37" s="25"/>
      <c r="E37" s="26"/>
    </row>
    <row r="38" spans="1:5" x14ac:dyDescent="0.3">
      <c r="A38" s="19">
        <v>20</v>
      </c>
      <c r="B38" s="19">
        <v>3</v>
      </c>
      <c r="C38" s="19">
        <v>3</v>
      </c>
      <c r="D38" s="25"/>
      <c r="E38" s="26"/>
    </row>
    <row r="39" spans="1:5" x14ac:dyDescent="0.3">
      <c r="A39" s="19">
        <v>21</v>
      </c>
      <c r="B39" s="19">
        <v>1</v>
      </c>
      <c r="C39" s="19">
        <v>2</v>
      </c>
      <c r="D39" s="25"/>
      <c r="E39" s="26"/>
    </row>
    <row r="40" spans="1:5" x14ac:dyDescent="0.3">
      <c r="A40" s="19">
        <v>22</v>
      </c>
      <c r="B40" s="19">
        <v>3</v>
      </c>
      <c r="C40" s="19">
        <v>3</v>
      </c>
      <c r="D40" s="25"/>
      <c r="E40" s="26"/>
    </row>
    <row r="41" spans="1:5" x14ac:dyDescent="0.3">
      <c r="A41" s="19">
        <v>23</v>
      </c>
      <c r="B41" s="19">
        <v>3</v>
      </c>
      <c r="C41" s="19">
        <v>3</v>
      </c>
      <c r="D41" s="25"/>
      <c r="E41" s="26"/>
    </row>
    <row r="42" spans="1:5" x14ac:dyDescent="0.3">
      <c r="A42" s="19">
        <v>24</v>
      </c>
      <c r="B42" s="19">
        <v>3</v>
      </c>
      <c r="C42" s="19">
        <v>3</v>
      </c>
      <c r="D42" s="25"/>
      <c r="E42" s="26"/>
    </row>
    <row r="43" spans="1:5" x14ac:dyDescent="0.3">
      <c r="A43" s="19">
        <v>25</v>
      </c>
      <c r="B43" s="19">
        <v>3</v>
      </c>
      <c r="C43" s="19">
        <v>3</v>
      </c>
      <c r="D43" s="25"/>
      <c r="E43" s="26"/>
    </row>
    <row r="44" spans="1:5" x14ac:dyDescent="0.3">
      <c r="A44" s="19">
        <v>26</v>
      </c>
      <c r="B44" s="19">
        <v>3</v>
      </c>
      <c r="C44" s="19">
        <v>3</v>
      </c>
      <c r="D44" s="25"/>
      <c r="E44" s="26"/>
    </row>
    <row r="45" spans="1:5" x14ac:dyDescent="0.3">
      <c r="A45" s="19"/>
      <c r="B45" s="19"/>
      <c r="C45" s="19"/>
    </row>
    <row r="46" spans="1:5" x14ac:dyDescent="0.3">
      <c r="B46" s="2"/>
    </row>
    <row r="48" spans="1:5" x14ac:dyDescent="0.3">
      <c r="A48" s="11" t="s">
        <v>14</v>
      </c>
      <c r="B48" s="6"/>
      <c r="C48" s="6"/>
      <c r="D48" s="6"/>
    </row>
    <row r="49" spans="1:5" x14ac:dyDescent="0.3">
      <c r="A49" s="20" t="s">
        <v>18</v>
      </c>
      <c r="B49" s="20">
        <v>1</v>
      </c>
      <c r="C49" s="20">
        <v>2</v>
      </c>
      <c r="D49" s="6"/>
    </row>
    <row r="50" spans="1:5" x14ac:dyDescent="0.3">
      <c r="A50" s="20" t="s">
        <v>15</v>
      </c>
      <c r="B50" s="20">
        <v>1</v>
      </c>
      <c r="C50" s="20">
        <v>1</v>
      </c>
      <c r="D50" s="7"/>
    </row>
    <row r="51" spans="1:5" x14ac:dyDescent="0.3">
      <c r="A51" s="20" t="s">
        <v>4</v>
      </c>
      <c r="B51" s="21">
        <f>AVERAGE(B19:B44)</f>
        <v>2.3461538461538463</v>
      </c>
      <c r="C51" s="21">
        <f>AVERAGE(C19:C44)</f>
        <v>2.6923076923076925</v>
      </c>
      <c r="D51" s="10"/>
    </row>
    <row r="52" spans="1:5" x14ac:dyDescent="0.3">
      <c r="A52" s="20" t="s">
        <v>5</v>
      </c>
      <c r="B52" s="21">
        <f>STDEV(B19:B44)</f>
        <v>0.84580412353252066</v>
      </c>
      <c r="C52" s="21">
        <f>STDEV(C19:C44)</f>
        <v>0.61768799691953047</v>
      </c>
      <c r="D52" s="10"/>
    </row>
    <row r="53" spans="1:5" x14ac:dyDescent="0.3">
      <c r="A53" s="20"/>
      <c r="B53" s="20"/>
      <c r="C53" s="20"/>
      <c r="D53" s="6"/>
    </row>
    <row r="54" spans="1:5" x14ac:dyDescent="0.3">
      <c r="A54" s="20" t="s">
        <v>9</v>
      </c>
      <c r="B54" s="20">
        <v>15</v>
      </c>
      <c r="C54" s="20">
        <v>20</v>
      </c>
      <c r="D54" s="6"/>
    </row>
    <row r="55" spans="1:5" x14ac:dyDescent="0.3">
      <c r="A55" s="20" t="s">
        <v>10</v>
      </c>
      <c r="B55" s="20">
        <v>5</v>
      </c>
      <c r="C55" s="20">
        <v>4</v>
      </c>
      <c r="D55" s="6"/>
    </row>
    <row r="56" spans="1:5" x14ac:dyDescent="0.3">
      <c r="A56" s="20" t="s">
        <v>7</v>
      </c>
      <c r="B56" s="20">
        <v>6</v>
      </c>
      <c r="C56" s="20">
        <v>2</v>
      </c>
      <c r="D56" s="6"/>
    </row>
    <row r="57" spans="1:5" x14ac:dyDescent="0.3">
      <c r="A57" s="20" t="s">
        <v>8</v>
      </c>
      <c r="B57" s="20">
        <f>SUM(B53:B56)</f>
        <v>26</v>
      </c>
      <c r="C57" s="20">
        <f t="shared" ref="C57" si="0">SUM(C53:C56)</f>
        <v>26</v>
      </c>
      <c r="D57" s="6"/>
    </row>
    <row r="59" spans="1:5" x14ac:dyDescent="0.3">
      <c r="A59" s="12" t="s">
        <v>13</v>
      </c>
      <c r="B59" s="8"/>
      <c r="C59" s="8"/>
      <c r="D59" s="8"/>
      <c r="E59" s="8"/>
    </row>
    <row r="60" spans="1:5" x14ac:dyDescent="0.3">
      <c r="A60" s="8" t="s">
        <v>0</v>
      </c>
      <c r="B60" s="8">
        <v>1</v>
      </c>
      <c r="C60" s="8"/>
      <c r="D60" s="8"/>
      <c r="E60" s="8"/>
    </row>
    <row r="61" spans="1:5" x14ac:dyDescent="0.3">
      <c r="A61" s="8" t="s">
        <v>11</v>
      </c>
      <c r="B61" s="9">
        <f>AVERAGE(B51:C51)</f>
        <v>2.5192307692307692</v>
      </c>
      <c r="C61" s="9"/>
      <c r="D61" s="9"/>
      <c r="E61" s="9"/>
    </row>
    <row r="62" spans="1:5" x14ac:dyDescent="0.3">
      <c r="A62" s="8" t="s">
        <v>12</v>
      </c>
      <c r="B62" s="9">
        <f>_xlfn.STDEV.P(B51:C51)</f>
        <v>0.17307692307692313</v>
      </c>
      <c r="C62" s="9"/>
      <c r="D62" s="9"/>
      <c r="E62" s="9"/>
    </row>
    <row r="66" spans="1:12" x14ac:dyDescent="0.3">
      <c r="F66" s="4"/>
    </row>
    <row r="67" spans="1:12" x14ac:dyDescent="0.3">
      <c r="A67" s="4"/>
      <c r="B67" s="4"/>
      <c r="C67" s="4"/>
      <c r="D67" s="4"/>
      <c r="E67" s="4"/>
      <c r="F67" s="4"/>
    </row>
    <row r="68" spans="1:12" x14ac:dyDescent="0.3">
      <c r="A68" s="4"/>
      <c r="B68" s="4"/>
      <c r="C68" s="4"/>
      <c r="D68" s="4"/>
      <c r="E68" s="4"/>
      <c r="F68" s="4"/>
    </row>
    <row r="69" spans="1:12" x14ac:dyDescent="0.3">
      <c r="A69" s="4"/>
      <c r="B69" s="4"/>
      <c r="C69" s="4"/>
      <c r="D69" s="4"/>
      <c r="E69" s="4"/>
      <c r="F69" s="4"/>
    </row>
    <row r="70" spans="1:12" x14ac:dyDescent="0.3">
      <c r="A70" s="4"/>
      <c r="B70" s="4"/>
      <c r="C70" s="4"/>
      <c r="D70" s="4"/>
      <c r="E70" s="4"/>
    </row>
    <row r="73" spans="1:12" x14ac:dyDescent="0.3">
      <c r="H73" s="2"/>
      <c r="I73" s="2"/>
      <c r="J73" s="2"/>
      <c r="K73" s="2"/>
      <c r="L73" s="2"/>
    </row>
    <row r="146" spans="1:17" x14ac:dyDescent="0.3">
      <c r="F146" s="4"/>
      <c r="G146" s="4"/>
      <c r="H146" s="4"/>
      <c r="I146" s="4"/>
      <c r="J146" s="4"/>
      <c r="K146" s="4"/>
      <c r="L146" s="4"/>
      <c r="M146" s="4"/>
    </row>
    <row r="147" spans="1:17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x14ac:dyDescent="0.3">
      <c r="A158" s="4"/>
      <c r="B158" s="4"/>
      <c r="C158" s="4"/>
      <c r="D158" s="4"/>
      <c r="E158" s="4"/>
      <c r="F158" s="4"/>
      <c r="G158" s="13"/>
      <c r="H158" s="13"/>
      <c r="I158" s="13"/>
      <c r="J158" s="13"/>
      <c r="K158" s="13"/>
      <c r="L158" s="13"/>
      <c r="M158" s="4"/>
      <c r="N158" s="4"/>
      <c r="O158" s="4"/>
      <c r="P158" s="4"/>
      <c r="Q158" s="4"/>
    </row>
    <row r="159" spans="1:17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3">
      <c r="A181" s="4"/>
      <c r="B181" s="1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x14ac:dyDescent="0.3">
      <c r="A182" s="4"/>
      <c r="B182" s="1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3">
      <c r="A183" s="4"/>
      <c r="B183" s="1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3">
      <c r="A184" s="4"/>
      <c r="B184" s="1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3">
      <c r="A186" s="1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x14ac:dyDescent="0.3">
      <c r="A261" s="4"/>
      <c r="B261" s="4"/>
      <c r="C261" s="4"/>
      <c r="D261" s="4"/>
      <c r="E261" s="4"/>
      <c r="N261" s="4"/>
      <c r="O261" s="4"/>
      <c r="P261" s="4"/>
      <c r="Q261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Gang Cheng</cp:lastModifiedBy>
  <dcterms:created xsi:type="dcterms:W3CDTF">2013-01-15T05:38:26Z</dcterms:created>
  <dcterms:modified xsi:type="dcterms:W3CDTF">2020-02-27T17:53:03Z</dcterms:modified>
</cp:coreProperties>
</file>