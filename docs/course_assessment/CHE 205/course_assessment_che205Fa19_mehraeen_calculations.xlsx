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codeName="ThisWorkbook" autoCompressPictures="0"/>
  <bookViews>
    <workbookView xWindow="640" yWindow="0" windowWidth="27920" windowHeight="164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9" i="1" l="1"/>
  <c r="C73" i="1"/>
  <c r="D73" i="1"/>
  <c r="E73" i="1"/>
  <c r="B73" i="1"/>
  <c r="C72" i="1"/>
  <c r="D72" i="1"/>
  <c r="E72" i="1"/>
  <c r="B72" i="1"/>
  <c r="C71" i="1"/>
  <c r="D71" i="1"/>
  <c r="E71" i="1"/>
  <c r="B71" i="1"/>
  <c r="B68" i="1"/>
  <c r="C68" i="1"/>
  <c r="D68" i="1"/>
  <c r="E68" i="1"/>
  <c r="B78" i="1"/>
  <c r="B69" i="1"/>
  <c r="C69" i="1"/>
  <c r="D69" i="1"/>
  <c r="E69" i="1"/>
  <c r="C74" i="1"/>
  <c r="D74" i="1"/>
  <c r="E74" i="1"/>
  <c r="B74" i="1"/>
</calcChain>
</file>

<file path=xl/sharedStrings.xml><?xml version="1.0" encoding="utf-8"?>
<sst xmlns="http://schemas.openxmlformats.org/spreadsheetml/2006/main" count="58" uniqueCount="51">
  <si>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</si>
  <si>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</si>
  <si>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</si>
  <si>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</si>
  <si>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</si>
  <si>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</si>
  <si>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</si>
  <si>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</si>
  <si>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</si>
  <si>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</si>
  <si>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</si>
  <si>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</si>
  <si>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</si>
  <si>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</si>
  <si>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</si>
  <si>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</si>
  <si>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</si>
  <si>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</si>
  <si>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</si>
  <si>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</si>
  <si>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</si>
  <si>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&lt;3</t>
  </si>
  <si>
    <t>&lt;2</t>
  </si>
  <si>
    <t>&gt;3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</si>
  <si>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</si>
  <si>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</si>
  <si>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</si>
  <si>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</si>
  <si>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</si>
  <si>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</si>
  <si>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</si>
  <si>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</si>
  <si>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</si>
  <si>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</si>
  <si>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</si>
  <si>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</si>
  <si>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</si>
  <si>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</si>
  <si>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</si>
  <si>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205 Fall 2019</t>
  </si>
  <si>
    <t xml:space="preserve">Computational Methods in Chemical Engineering </t>
  </si>
  <si>
    <t>Prepared by S. Mehraeen</t>
  </si>
  <si>
    <t>1c</t>
  </si>
  <si>
    <t>2 to 3</t>
  </si>
  <si>
    <t>3 to 5</t>
  </si>
  <si>
    <t>&gt;5</t>
  </si>
  <si>
    <t>&lt;4</t>
  </si>
  <si>
    <t>4 to 7</t>
  </si>
  <si>
    <t>&gt;7</t>
  </si>
  <si>
    <t>3a</t>
  </si>
  <si>
    <t>Assessment rubric: Final exam,  Problems,  1c, 2, 4, and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</si>
</sst>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6" borderId="0" xfId="0" applyFont="1" applyFill="1"/>
    <xf numFmtId="0" fontId="0" fillId="6" borderId="0" xfId="0" applyFill="1"/>
    <xf numFmtId="0" fontId="6" fillId="0" borderId="0" xfId="0" applyFont="1" applyFill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V278"/>
  <sheetViews>
    <sheetView tabSelected="1" topLeftCell="A16" zoomScale="150" zoomScaleNormal="150" zoomScalePageLayoutView="150" workbookViewId="0">
      <pane ySplit="820" topLeftCell="A55" activePane="bottomLeft"/>
      <selection activeCell="C6" sqref="C6"/>
      <selection pane="bottomLeft" activeCell="B73" sqref="B73"/>
    </sheetView>
  </sheetViews>
  <sheetFormatPr baseColWidth="10" defaultColWidth="8.83203125" defaultRowHeight="14" x14ac:dyDescent="0"/>
  <cols>
    <col min="1" max="1" width="22.6640625" customWidth="1"/>
    <col min="2" max="5" width="4.5" customWidth="1"/>
    <col min="8" max="8" width="2.6640625" customWidth="1"/>
    <col min="9" max="9" width="7.6640625" customWidth="1"/>
    <col min="10" max="10" width="7.83203125" customWidth="1"/>
    <col min="11" max="11" width="12" customWidth="1"/>
    <col min="12" max="12" width="9.6640625" customWidth="1"/>
    <col min="13" max="13" width="10" customWidth="1"/>
    <col min="15" max="15" width="9.1640625" customWidth="1"/>
  </cols>
  <sheetData>
    <row r="1" spans="1:22">
      <c r="A1" s="1" t="s">
        <v>39</v>
      </c>
      <c r="F1" s="1" t="s">
        <v>26</v>
      </c>
    </row>
    <row r="2" spans="1:22" ht="15">
      <c r="A2" s="1" t="s">
        <v>40</v>
      </c>
      <c r="H2" s="23" t="s">
        <v>25</v>
      </c>
    </row>
    <row r="3" spans="1:22">
      <c r="A3" s="1" t="s">
        <v>32</v>
      </c>
      <c r="H3" t="s">
        <v>27</v>
      </c>
    </row>
    <row r="4" spans="1:22">
      <c r="A4" s="3" t="s">
        <v>50</v>
      </c>
      <c r="B4" s="3"/>
      <c r="C4" s="3"/>
      <c r="D4" s="3"/>
    </row>
    <row r="5" spans="1:22">
      <c r="A5" s="3" t="s">
        <v>41</v>
      </c>
      <c r="B5" s="3"/>
      <c r="C5" s="3"/>
      <c r="D5" s="3"/>
      <c r="E5" s="3"/>
      <c r="H5" s="1" t="s">
        <v>28</v>
      </c>
    </row>
    <row r="6" spans="1:22">
      <c r="A6" s="3"/>
      <c r="B6" s="3"/>
      <c r="C6" s="3"/>
      <c r="D6" s="3"/>
      <c r="E6" s="3"/>
      <c r="H6" s="26" t="s">
        <v>29</v>
      </c>
      <c r="I6" s="27"/>
      <c r="J6" s="27"/>
      <c r="K6" s="27"/>
      <c r="L6" s="27"/>
      <c r="M6" s="27"/>
    </row>
    <row r="7" spans="1:22">
      <c r="A7" s="3"/>
      <c r="H7" s="27" t="s">
        <v>30</v>
      </c>
      <c r="I7" s="27"/>
      <c r="J7" s="27"/>
      <c r="K7" s="27"/>
      <c r="L7" s="27"/>
      <c r="M7" s="27"/>
    </row>
    <row r="8" spans="1:22">
      <c r="H8" t="s">
        <v>31</v>
      </c>
    </row>
    <row r="9" spans="1:22">
      <c r="A9" s="15" t="s">
        <v>16</v>
      </c>
      <c r="B9" s="5"/>
      <c r="C9" s="5"/>
      <c r="D9" s="5"/>
      <c r="H9" s="27" t="s">
        <v>35</v>
      </c>
      <c r="I9" s="27"/>
      <c r="J9" s="27"/>
      <c r="K9" s="27"/>
    </row>
    <row r="10" spans="1:22">
      <c r="A10" s="5">
        <v>1</v>
      </c>
      <c r="B10" s="5" t="s">
        <v>1</v>
      </c>
      <c r="C10" s="5"/>
      <c r="D10" s="5"/>
      <c r="H10" t="s">
        <v>36</v>
      </c>
    </row>
    <row r="11" spans="1:22">
      <c r="A11" s="5">
        <v>2</v>
      </c>
      <c r="B11" s="5" t="s">
        <v>2</v>
      </c>
      <c r="C11" s="5"/>
      <c r="D11" s="5"/>
      <c r="H11" s="27" t="s">
        <v>37</v>
      </c>
      <c r="I11" s="27"/>
      <c r="J11" s="27"/>
      <c r="K11" s="27"/>
    </row>
    <row r="12" spans="1:22">
      <c r="A12" s="5">
        <v>3</v>
      </c>
      <c r="B12" s="5" t="s">
        <v>3</v>
      </c>
      <c r="C12" s="5"/>
      <c r="D12" s="5"/>
      <c r="H12" t="s">
        <v>38</v>
      </c>
    </row>
    <row r="13" spans="1:22">
      <c r="A13" s="5"/>
      <c r="B13" s="5"/>
      <c r="C13" s="5"/>
      <c r="D13" s="5"/>
      <c r="V13" t="s">
        <v>34</v>
      </c>
    </row>
    <row r="14" spans="1:22">
      <c r="H14" t="s">
        <v>19</v>
      </c>
    </row>
    <row r="15" spans="1:22">
      <c r="A15" s="16" t="s">
        <v>33</v>
      </c>
      <c r="B15" s="16">
        <v>1</v>
      </c>
      <c r="C15" s="16">
        <v>2</v>
      </c>
      <c r="D15" s="16">
        <v>4</v>
      </c>
      <c r="E15" s="16">
        <v>6</v>
      </c>
      <c r="H15" s="21" t="s">
        <v>20</v>
      </c>
      <c r="I15" s="21" t="s">
        <v>18</v>
      </c>
      <c r="J15" s="21" t="s">
        <v>24</v>
      </c>
      <c r="K15" s="21" t="s">
        <v>1</v>
      </c>
      <c r="L15" s="21" t="s">
        <v>2</v>
      </c>
      <c r="M15" s="21" t="s">
        <v>3</v>
      </c>
    </row>
    <row r="16" spans="1:22">
      <c r="A16" s="16" t="s">
        <v>18</v>
      </c>
      <c r="B16" s="17" t="s">
        <v>42</v>
      </c>
      <c r="C16" s="17">
        <v>2</v>
      </c>
      <c r="D16" s="17">
        <v>4</v>
      </c>
      <c r="E16" s="17" t="s">
        <v>49</v>
      </c>
      <c r="F16" s="2"/>
      <c r="G16" s="2"/>
      <c r="H16" s="21">
        <v>1</v>
      </c>
      <c r="I16" s="21" t="s">
        <v>42</v>
      </c>
      <c r="J16" s="21">
        <v>7</v>
      </c>
      <c r="K16" s="22" t="s">
        <v>21</v>
      </c>
      <c r="L16" s="25" t="s">
        <v>44</v>
      </c>
      <c r="M16" s="22" t="s">
        <v>45</v>
      </c>
    </row>
    <row r="17" spans="1:13">
      <c r="B17" s="2"/>
      <c r="H17" s="21">
        <v>2</v>
      </c>
      <c r="I17" s="21">
        <v>2</v>
      </c>
      <c r="J17" s="21">
        <v>10</v>
      </c>
      <c r="K17" s="22" t="s">
        <v>46</v>
      </c>
      <c r="L17" s="24" t="s">
        <v>47</v>
      </c>
      <c r="M17" s="22" t="s">
        <v>48</v>
      </c>
    </row>
    <row r="18" spans="1:13">
      <c r="A18" t="s">
        <v>6</v>
      </c>
      <c r="B18" s="28"/>
      <c r="C18" s="28"/>
      <c r="D18" s="28"/>
      <c r="E18" s="28"/>
      <c r="H18" s="21">
        <v>4</v>
      </c>
      <c r="I18" s="21">
        <v>4</v>
      </c>
      <c r="J18" s="21">
        <v>5</v>
      </c>
      <c r="K18" s="22" t="s">
        <v>22</v>
      </c>
      <c r="L18" s="22" t="s">
        <v>43</v>
      </c>
      <c r="M18" s="22" t="s">
        <v>23</v>
      </c>
    </row>
    <row r="19" spans="1:13">
      <c r="A19" s="18">
        <v>1</v>
      </c>
      <c r="B19" s="18">
        <v>3</v>
      </c>
      <c r="C19" s="18">
        <v>3</v>
      </c>
      <c r="D19" s="18">
        <v>3</v>
      </c>
      <c r="E19" s="18">
        <v>3</v>
      </c>
      <c r="H19" s="21">
        <v>6</v>
      </c>
      <c r="I19" s="21" t="s">
        <v>49</v>
      </c>
      <c r="J19" s="21">
        <v>3</v>
      </c>
      <c r="K19" s="22" t="s">
        <v>22</v>
      </c>
      <c r="L19" s="25">
        <v>2</v>
      </c>
      <c r="M19" s="22">
        <v>3</v>
      </c>
    </row>
    <row r="20" spans="1:13">
      <c r="A20" s="18">
        <v>2</v>
      </c>
      <c r="B20" s="18">
        <v>3</v>
      </c>
      <c r="C20" s="18">
        <v>3</v>
      </c>
      <c r="D20" s="18">
        <v>3</v>
      </c>
      <c r="E20" s="18">
        <v>3</v>
      </c>
    </row>
    <row r="21" spans="1:13">
      <c r="A21" s="18">
        <v>3</v>
      </c>
      <c r="B21" s="18">
        <v>3</v>
      </c>
      <c r="C21" s="18">
        <v>2</v>
      </c>
      <c r="D21" s="18">
        <v>3</v>
      </c>
      <c r="E21" s="18">
        <v>3</v>
      </c>
    </row>
    <row r="22" spans="1:13">
      <c r="A22" s="18">
        <v>4</v>
      </c>
      <c r="B22" s="18">
        <v>3</v>
      </c>
      <c r="C22" s="18">
        <v>2</v>
      </c>
      <c r="D22" s="18">
        <v>3</v>
      </c>
      <c r="E22" s="18">
        <v>3</v>
      </c>
    </row>
    <row r="23" spans="1:13">
      <c r="A23" s="18">
        <v>5</v>
      </c>
      <c r="B23" s="18">
        <v>3</v>
      </c>
      <c r="C23" s="18">
        <v>2</v>
      </c>
      <c r="D23" s="18">
        <v>3</v>
      </c>
      <c r="E23" s="18">
        <v>3</v>
      </c>
    </row>
    <row r="24" spans="1:13">
      <c r="A24" s="18">
        <v>6</v>
      </c>
      <c r="B24" s="18">
        <v>3</v>
      </c>
      <c r="C24" s="18">
        <v>2</v>
      </c>
      <c r="D24" s="18">
        <v>3</v>
      </c>
      <c r="E24" s="18">
        <v>3</v>
      </c>
    </row>
    <row r="25" spans="1:13">
      <c r="A25" s="18">
        <v>7</v>
      </c>
      <c r="B25" s="18">
        <v>3</v>
      </c>
      <c r="C25" s="18">
        <v>2</v>
      </c>
      <c r="D25" s="18">
        <v>3</v>
      </c>
      <c r="E25" s="18">
        <v>3</v>
      </c>
    </row>
    <row r="26" spans="1:13">
      <c r="A26" s="18">
        <v>8</v>
      </c>
      <c r="B26" s="18">
        <v>3</v>
      </c>
      <c r="C26" s="18">
        <v>2</v>
      </c>
      <c r="D26" s="18">
        <v>3</v>
      </c>
      <c r="E26" s="18">
        <v>3</v>
      </c>
    </row>
    <row r="27" spans="1:13">
      <c r="A27" s="18">
        <v>9</v>
      </c>
      <c r="B27" s="18">
        <v>3</v>
      </c>
      <c r="C27" s="18">
        <v>2</v>
      </c>
      <c r="D27" s="18">
        <v>3</v>
      </c>
      <c r="E27" s="18">
        <v>3</v>
      </c>
    </row>
    <row r="28" spans="1:13">
      <c r="A28" s="18">
        <v>10</v>
      </c>
      <c r="B28" s="18">
        <v>3</v>
      </c>
      <c r="C28" s="18">
        <v>2</v>
      </c>
      <c r="D28" s="18">
        <v>3</v>
      </c>
      <c r="E28" s="18">
        <v>3</v>
      </c>
    </row>
    <row r="29" spans="1:13">
      <c r="A29" s="18">
        <v>11</v>
      </c>
      <c r="B29" s="18">
        <v>3</v>
      </c>
      <c r="C29" s="18">
        <v>2</v>
      </c>
      <c r="D29" s="18">
        <v>3</v>
      </c>
      <c r="E29" s="18">
        <v>3</v>
      </c>
    </row>
    <row r="30" spans="1:13">
      <c r="A30" s="18">
        <v>12</v>
      </c>
      <c r="B30" s="18">
        <v>3</v>
      </c>
      <c r="C30" s="18">
        <v>2</v>
      </c>
      <c r="D30" s="18">
        <v>3</v>
      </c>
      <c r="E30" s="18">
        <v>3</v>
      </c>
    </row>
    <row r="31" spans="1:13">
      <c r="A31" s="18">
        <v>13</v>
      </c>
      <c r="B31" s="18">
        <v>3</v>
      </c>
      <c r="C31" s="18">
        <v>2</v>
      </c>
      <c r="D31" s="18">
        <v>3</v>
      </c>
      <c r="E31" s="18">
        <v>3</v>
      </c>
    </row>
    <row r="32" spans="1:13">
      <c r="A32" s="18">
        <v>14</v>
      </c>
      <c r="B32" s="18">
        <v>3</v>
      </c>
      <c r="C32" s="18">
        <v>1</v>
      </c>
      <c r="D32" s="18">
        <v>3</v>
      </c>
      <c r="E32" s="18">
        <v>3</v>
      </c>
    </row>
    <row r="33" spans="1:5">
      <c r="A33" s="18">
        <v>15</v>
      </c>
      <c r="B33" s="18">
        <v>3</v>
      </c>
      <c r="C33" s="18">
        <v>2</v>
      </c>
      <c r="D33" s="18">
        <v>3</v>
      </c>
      <c r="E33" s="18">
        <v>3</v>
      </c>
    </row>
    <row r="34" spans="1:5">
      <c r="A34" s="18">
        <v>16</v>
      </c>
      <c r="B34" s="18">
        <v>3</v>
      </c>
      <c r="C34" s="18">
        <v>1</v>
      </c>
      <c r="D34" s="18">
        <v>3</v>
      </c>
      <c r="E34" s="18">
        <v>3</v>
      </c>
    </row>
    <row r="35" spans="1:5">
      <c r="A35" s="18">
        <v>17</v>
      </c>
      <c r="B35" s="18">
        <v>3</v>
      </c>
      <c r="C35" s="18">
        <v>1</v>
      </c>
      <c r="D35" s="18">
        <v>3</v>
      </c>
      <c r="E35" s="18">
        <v>3</v>
      </c>
    </row>
    <row r="36" spans="1:5">
      <c r="A36" s="18">
        <v>18</v>
      </c>
      <c r="B36" s="18">
        <v>3</v>
      </c>
      <c r="C36" s="18">
        <v>1</v>
      </c>
      <c r="D36" s="18">
        <v>3</v>
      </c>
      <c r="E36" s="18">
        <v>3</v>
      </c>
    </row>
    <row r="37" spans="1:5">
      <c r="A37" s="18">
        <v>19</v>
      </c>
      <c r="B37" s="18">
        <v>3</v>
      </c>
      <c r="C37" s="18">
        <v>1</v>
      </c>
      <c r="D37" s="18">
        <v>3</v>
      </c>
      <c r="E37" s="18">
        <v>3</v>
      </c>
    </row>
    <row r="38" spans="1:5">
      <c r="A38" s="18">
        <v>20</v>
      </c>
      <c r="B38" s="18">
        <v>3</v>
      </c>
      <c r="C38" s="18">
        <v>1</v>
      </c>
      <c r="D38" s="18">
        <v>3</v>
      </c>
      <c r="E38" s="18">
        <v>3</v>
      </c>
    </row>
    <row r="39" spans="1:5">
      <c r="A39" s="18">
        <v>21</v>
      </c>
      <c r="B39" s="18">
        <v>3</v>
      </c>
      <c r="C39" s="18">
        <v>1</v>
      </c>
      <c r="D39" s="18">
        <v>3</v>
      </c>
      <c r="E39" s="18">
        <v>3</v>
      </c>
    </row>
    <row r="40" spans="1:5">
      <c r="A40" s="18">
        <v>22</v>
      </c>
      <c r="B40" s="18">
        <v>3</v>
      </c>
      <c r="C40" s="18">
        <v>1</v>
      </c>
      <c r="D40" s="18">
        <v>3</v>
      </c>
      <c r="E40" s="18">
        <v>3</v>
      </c>
    </row>
    <row r="41" spans="1:5">
      <c r="A41" s="18">
        <v>23</v>
      </c>
      <c r="B41" s="18">
        <v>3</v>
      </c>
      <c r="C41" s="18">
        <v>1</v>
      </c>
      <c r="D41" s="18">
        <v>3</v>
      </c>
      <c r="E41" s="18">
        <v>3</v>
      </c>
    </row>
    <row r="42" spans="1:5">
      <c r="A42" s="18">
        <v>24</v>
      </c>
      <c r="B42" s="18">
        <v>3</v>
      </c>
      <c r="C42" s="18">
        <v>1</v>
      </c>
      <c r="D42" s="18">
        <v>3</v>
      </c>
      <c r="E42" s="18">
        <v>3</v>
      </c>
    </row>
    <row r="43" spans="1:5">
      <c r="A43" s="18">
        <v>25</v>
      </c>
      <c r="B43" s="18">
        <v>3</v>
      </c>
      <c r="C43" s="18">
        <v>1</v>
      </c>
      <c r="D43" s="18">
        <v>3</v>
      </c>
      <c r="E43" s="18">
        <v>3</v>
      </c>
    </row>
    <row r="44" spans="1:5">
      <c r="A44" s="18">
        <v>26</v>
      </c>
      <c r="B44" s="18">
        <v>3</v>
      </c>
      <c r="C44" s="18">
        <v>1</v>
      </c>
      <c r="D44" s="18">
        <v>3</v>
      </c>
      <c r="E44" s="18">
        <v>3</v>
      </c>
    </row>
    <row r="45" spans="1:5">
      <c r="A45" s="18">
        <v>27</v>
      </c>
      <c r="B45" s="18">
        <v>3</v>
      </c>
      <c r="C45" s="18">
        <v>1</v>
      </c>
      <c r="D45" s="18">
        <v>2</v>
      </c>
      <c r="E45" s="18">
        <v>3</v>
      </c>
    </row>
    <row r="46" spans="1:5">
      <c r="A46" s="18">
        <v>28</v>
      </c>
      <c r="B46" s="18">
        <v>2</v>
      </c>
      <c r="C46" s="18">
        <v>1</v>
      </c>
      <c r="D46" s="18">
        <v>3</v>
      </c>
      <c r="E46" s="18">
        <v>3</v>
      </c>
    </row>
    <row r="47" spans="1:5">
      <c r="A47" s="18">
        <v>29</v>
      </c>
      <c r="B47" s="18">
        <v>2</v>
      </c>
      <c r="C47" s="18">
        <v>1</v>
      </c>
      <c r="D47" s="18">
        <v>3</v>
      </c>
      <c r="E47" s="18">
        <v>3</v>
      </c>
    </row>
    <row r="48" spans="1:5">
      <c r="A48" s="18">
        <v>30</v>
      </c>
      <c r="B48" s="18">
        <v>3</v>
      </c>
      <c r="C48" s="18">
        <v>1</v>
      </c>
      <c r="D48" s="18">
        <v>3</v>
      </c>
      <c r="E48" s="18">
        <v>2</v>
      </c>
    </row>
    <row r="49" spans="1:5">
      <c r="A49" s="18">
        <v>31</v>
      </c>
      <c r="B49" s="18">
        <v>3</v>
      </c>
      <c r="C49" s="18">
        <v>1</v>
      </c>
      <c r="D49" s="18">
        <v>3</v>
      </c>
      <c r="E49" s="18">
        <v>2</v>
      </c>
    </row>
    <row r="50" spans="1:5">
      <c r="A50" s="18">
        <v>32</v>
      </c>
      <c r="B50" s="18">
        <v>1</v>
      </c>
      <c r="C50" s="18">
        <v>1</v>
      </c>
      <c r="D50" s="18">
        <v>3</v>
      </c>
      <c r="E50" s="18">
        <v>3</v>
      </c>
    </row>
    <row r="51" spans="1:5">
      <c r="A51" s="18">
        <v>33</v>
      </c>
      <c r="B51" s="18">
        <v>3</v>
      </c>
      <c r="C51" s="18">
        <v>1</v>
      </c>
      <c r="D51" s="18">
        <v>3</v>
      </c>
      <c r="E51" s="18">
        <v>3</v>
      </c>
    </row>
    <row r="52" spans="1:5">
      <c r="A52" s="18">
        <v>34</v>
      </c>
      <c r="B52" s="18">
        <v>1</v>
      </c>
      <c r="C52" s="18">
        <v>1</v>
      </c>
      <c r="D52" s="18">
        <v>1</v>
      </c>
      <c r="E52" s="18">
        <v>1</v>
      </c>
    </row>
    <row r="53" spans="1:5">
      <c r="A53" s="18">
        <v>35</v>
      </c>
      <c r="B53" s="18">
        <v>3</v>
      </c>
      <c r="C53" s="18">
        <v>1</v>
      </c>
      <c r="D53" s="18">
        <v>1</v>
      </c>
      <c r="E53" s="18">
        <v>1</v>
      </c>
    </row>
    <row r="54" spans="1:5">
      <c r="A54" s="18">
        <v>36</v>
      </c>
      <c r="B54" s="18">
        <v>2</v>
      </c>
      <c r="C54" s="18">
        <v>1</v>
      </c>
      <c r="D54" s="18">
        <v>2</v>
      </c>
      <c r="E54" s="18">
        <v>1</v>
      </c>
    </row>
    <row r="55" spans="1:5">
      <c r="A55" s="18">
        <v>37</v>
      </c>
      <c r="B55" s="18">
        <v>1</v>
      </c>
      <c r="C55" s="18">
        <v>1</v>
      </c>
      <c r="D55" s="18">
        <v>3</v>
      </c>
      <c r="E55" s="18">
        <v>1</v>
      </c>
    </row>
    <row r="56" spans="1:5">
      <c r="A56" s="18">
        <v>38</v>
      </c>
      <c r="B56" s="18">
        <v>2</v>
      </c>
      <c r="C56" s="18">
        <v>1</v>
      </c>
      <c r="D56" s="18">
        <v>1</v>
      </c>
      <c r="E56" s="18">
        <v>1</v>
      </c>
    </row>
    <row r="57" spans="1:5">
      <c r="A57" s="18">
        <v>39</v>
      </c>
      <c r="B57" s="18">
        <v>1</v>
      </c>
      <c r="C57" s="18">
        <v>1</v>
      </c>
      <c r="D57" s="18">
        <v>1</v>
      </c>
      <c r="E57" s="18">
        <v>1</v>
      </c>
    </row>
    <row r="58" spans="1:5">
      <c r="A58" s="18">
        <v>40</v>
      </c>
      <c r="B58" s="18">
        <v>1</v>
      </c>
      <c r="C58" s="18">
        <v>1</v>
      </c>
      <c r="D58" s="18">
        <v>1</v>
      </c>
      <c r="E58" s="18">
        <v>1</v>
      </c>
    </row>
    <row r="59" spans="1:5">
      <c r="A59" s="18">
        <v>41</v>
      </c>
      <c r="B59" s="18">
        <v>3</v>
      </c>
      <c r="C59" s="18">
        <v>1</v>
      </c>
      <c r="D59" s="18">
        <v>1</v>
      </c>
      <c r="E59" s="18">
        <v>1</v>
      </c>
    </row>
    <row r="60" spans="1:5">
      <c r="A60" s="18">
        <v>42</v>
      </c>
      <c r="B60" s="18">
        <v>2</v>
      </c>
      <c r="C60" s="18">
        <v>1</v>
      </c>
      <c r="D60" s="18">
        <v>1</v>
      </c>
      <c r="E60" s="18">
        <v>1</v>
      </c>
    </row>
    <row r="61" spans="1:5">
      <c r="A61" s="18">
        <v>43</v>
      </c>
      <c r="B61" s="18">
        <v>1</v>
      </c>
      <c r="C61" s="18">
        <v>1</v>
      </c>
      <c r="D61" s="18">
        <v>1</v>
      </c>
      <c r="E61" s="18">
        <v>1</v>
      </c>
    </row>
    <row r="62" spans="1:5">
      <c r="A62" s="18">
        <v>44</v>
      </c>
      <c r="B62" s="18">
        <v>1</v>
      </c>
      <c r="C62" s="18">
        <v>1</v>
      </c>
      <c r="D62" s="18">
        <v>1</v>
      </c>
      <c r="E62" s="18">
        <v>1</v>
      </c>
    </row>
    <row r="63" spans="1:5">
      <c r="A63" s="18">
        <v>45</v>
      </c>
      <c r="B63" s="18">
        <v>1</v>
      </c>
      <c r="C63" s="18">
        <v>1</v>
      </c>
      <c r="D63" s="18">
        <v>1</v>
      </c>
      <c r="E63" s="18">
        <v>1</v>
      </c>
    </row>
    <row r="65" spans="1:6">
      <c r="A65" s="10" t="s">
        <v>14</v>
      </c>
      <c r="B65" s="6"/>
      <c r="C65" s="6"/>
      <c r="D65" s="6"/>
      <c r="E65" s="6"/>
    </row>
    <row r="66" spans="1:6">
      <c r="A66" s="19" t="s">
        <v>17</v>
      </c>
      <c r="B66" s="19">
        <v>1</v>
      </c>
      <c r="C66" s="19">
        <v>2</v>
      </c>
      <c r="D66" s="19">
        <v>4</v>
      </c>
      <c r="E66" s="6">
        <v>6</v>
      </c>
    </row>
    <row r="67" spans="1:6">
      <c r="A67" s="19" t="s">
        <v>15</v>
      </c>
      <c r="B67" s="19">
        <v>1</v>
      </c>
      <c r="C67" s="19">
        <v>1</v>
      </c>
      <c r="D67" s="19">
        <v>1</v>
      </c>
      <c r="E67" s="7">
        <v>1</v>
      </c>
    </row>
    <row r="68" spans="1:6">
      <c r="A68" s="19" t="s">
        <v>4</v>
      </c>
      <c r="B68" s="20">
        <f>AVERAGE(B19:B63)</f>
        <v>2.5333333333333332</v>
      </c>
      <c r="C68" s="20">
        <f>AVERAGE(C19:C63)</f>
        <v>1.3555555555555556</v>
      </c>
      <c r="D68" s="20">
        <f>AVERAGE(D19:D63)</f>
        <v>2.5111111111111111</v>
      </c>
      <c r="E68" s="20">
        <f>AVERAGE(E19:E63)</f>
        <v>2.4222222222222221</v>
      </c>
    </row>
    <row r="69" spans="1:6">
      <c r="A69" s="19" t="s">
        <v>5</v>
      </c>
      <c r="B69" s="20">
        <f>STDEV(B19:B63)</f>
        <v>0.78624539310689634</v>
      </c>
      <c r="C69" s="20">
        <f>STDEV(C19:C63)</f>
        <v>0.57030914884168338</v>
      </c>
      <c r="D69" s="20">
        <f>STDEV(D19:D63)</f>
        <v>0.84267491365354563</v>
      </c>
      <c r="E69" s="20">
        <f>STDEV(E19:E63)</f>
        <v>0.89159940273056182</v>
      </c>
    </row>
    <row r="70" spans="1:6">
      <c r="A70" s="19"/>
      <c r="B70" s="19"/>
      <c r="C70" s="19"/>
      <c r="D70" s="19"/>
      <c r="E70" s="6"/>
    </row>
    <row r="71" spans="1:6">
      <c r="A71" s="19" t="s">
        <v>9</v>
      </c>
      <c r="B71" s="19">
        <f>COUNTIF(B$19:B$63,"=3")</f>
        <v>32</v>
      </c>
      <c r="C71" s="19">
        <f>COUNTIF(C$19:C$63,"=3")</f>
        <v>2</v>
      </c>
      <c r="D71" s="19">
        <f>COUNTIF(D$19:D$63,"=3")</f>
        <v>33</v>
      </c>
      <c r="E71" s="19">
        <f>COUNTIF(E$19:E$63,"=3")</f>
        <v>31</v>
      </c>
    </row>
    <row r="72" spans="1:6">
      <c r="A72" s="19" t="s">
        <v>10</v>
      </c>
      <c r="B72" s="19">
        <f>COUNTIF(B$19:B$63,"=2")</f>
        <v>5</v>
      </c>
      <c r="C72" s="19">
        <f>COUNTIF(C$19:C$63,"=2")</f>
        <v>12</v>
      </c>
      <c r="D72" s="19">
        <f>COUNTIF(D$19:D$63,"=2")</f>
        <v>2</v>
      </c>
      <c r="E72" s="19">
        <f>COUNTIF(E$19:E$63,"=2")</f>
        <v>2</v>
      </c>
    </row>
    <row r="73" spans="1:6">
      <c r="A73" s="19" t="s">
        <v>7</v>
      </c>
      <c r="B73" s="19">
        <f>COUNTIF(B$19:B$63,"=1")</f>
        <v>8</v>
      </c>
      <c r="C73" s="19">
        <f>COUNTIF(C$19:C$63,"=1")</f>
        <v>31</v>
      </c>
      <c r="D73" s="19">
        <f>COUNTIF(D$19:D$63,"=1")</f>
        <v>10</v>
      </c>
      <c r="E73" s="19">
        <f>COUNTIF(E$19:E$63,"=1")</f>
        <v>12</v>
      </c>
    </row>
    <row r="74" spans="1:6">
      <c r="A74" s="19" t="s">
        <v>8</v>
      </c>
      <c r="B74" s="19">
        <f>SUM(B$71:B$73)</f>
        <v>45</v>
      </c>
      <c r="C74" s="19">
        <f t="shared" ref="C74:E74" si="0">SUM(C$71:C$73)</f>
        <v>45</v>
      </c>
      <c r="D74" s="19">
        <f t="shared" si="0"/>
        <v>45</v>
      </c>
      <c r="E74" s="19">
        <f t="shared" si="0"/>
        <v>45</v>
      </c>
    </row>
    <row r="76" spans="1:6">
      <c r="A76" s="11" t="s">
        <v>13</v>
      </c>
      <c r="B76" s="8"/>
      <c r="C76" s="8"/>
      <c r="D76" s="8"/>
      <c r="E76" s="8"/>
      <c r="F76" s="8"/>
    </row>
    <row r="77" spans="1:6">
      <c r="A77" s="8" t="s">
        <v>0</v>
      </c>
      <c r="B77" s="8">
        <v>1</v>
      </c>
      <c r="C77" s="8"/>
      <c r="D77" s="8"/>
      <c r="E77" s="8"/>
      <c r="F77" s="8"/>
    </row>
    <row r="78" spans="1:6">
      <c r="A78" s="8" t="s">
        <v>11</v>
      </c>
      <c r="B78" s="9">
        <f>AVERAGE(B68:E68)</f>
        <v>2.2055555555555557</v>
      </c>
      <c r="C78" s="9"/>
      <c r="D78" s="9"/>
      <c r="E78" s="9"/>
      <c r="F78" s="9"/>
    </row>
    <row r="79" spans="1:6">
      <c r="A79" s="8" t="s">
        <v>12</v>
      </c>
      <c r="B79" s="9">
        <f>_xlfn.STDEV.P(B68:E68)</f>
        <v>0.49250556179099231</v>
      </c>
      <c r="C79" s="9"/>
      <c r="D79" s="9"/>
      <c r="E79" s="9"/>
      <c r="F79" s="9"/>
    </row>
    <row r="84" spans="1:13">
      <c r="A84" s="4"/>
      <c r="B84" s="4"/>
      <c r="C84" s="4"/>
      <c r="D84" s="4"/>
      <c r="E84" s="4"/>
      <c r="F84" s="4"/>
      <c r="G84" s="4"/>
    </row>
    <row r="85" spans="1:13">
      <c r="A85" s="4"/>
      <c r="B85" s="4"/>
      <c r="C85" s="4"/>
      <c r="D85" s="4"/>
      <c r="E85" s="4"/>
      <c r="F85" s="4"/>
      <c r="G85" s="4"/>
    </row>
    <row r="86" spans="1:13">
      <c r="A86" s="4"/>
      <c r="B86" s="4"/>
      <c r="C86" s="4"/>
      <c r="D86" s="4"/>
      <c r="E86" s="4"/>
      <c r="F86" s="4"/>
      <c r="G86" s="4"/>
    </row>
    <row r="87" spans="1:13">
      <c r="A87" s="4"/>
      <c r="B87" s="4"/>
      <c r="C87" s="4"/>
      <c r="D87" s="4"/>
      <c r="E87" s="4"/>
      <c r="F87" s="4"/>
      <c r="G87" s="4"/>
    </row>
    <row r="91" spans="1:13">
      <c r="I91" s="2"/>
      <c r="J91" s="2"/>
      <c r="K91" s="2"/>
      <c r="L91" s="2"/>
      <c r="M91" s="2"/>
    </row>
    <row r="164" spans="1:1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/>
      <c r="B176" s="4"/>
      <c r="C176" s="4"/>
      <c r="D176" s="4"/>
      <c r="E176" s="4"/>
      <c r="F176" s="4"/>
      <c r="G176" s="4"/>
      <c r="H176" s="12"/>
      <c r="I176" s="12"/>
      <c r="J176" s="12"/>
      <c r="K176" s="12"/>
      <c r="L176" s="12"/>
      <c r="M176" s="12"/>
      <c r="N176" s="4"/>
      <c r="O176" s="4"/>
      <c r="P176" s="4"/>
      <c r="Q176" s="4"/>
      <c r="R176" s="4"/>
    </row>
    <row r="177" spans="1:1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>
      <c r="A198" s="4"/>
      <c r="B198" s="1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>
      <c r="A199" s="4"/>
      <c r="B199" s="1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>
      <c r="A200" s="4"/>
      <c r="B200" s="1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>
      <c r="A201" s="4"/>
      <c r="B201" s="1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>
      <c r="A203" s="1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</sheetData>
  <sortState ref="D19:D39">
    <sortCondition ref="D19:D39"/>
  </sortState>
  <phoneticPr fontId="7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Shafigh</cp:lastModifiedBy>
  <dcterms:created xsi:type="dcterms:W3CDTF">2013-01-15T05:38:26Z</dcterms:created>
  <dcterms:modified xsi:type="dcterms:W3CDTF">2020-03-03T13:18:07Z</dcterms:modified>
</cp:coreProperties>
</file>