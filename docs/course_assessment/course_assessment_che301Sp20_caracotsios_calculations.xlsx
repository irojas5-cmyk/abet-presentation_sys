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9" i="1" l="1"/>
  <c r="K29" i="1"/>
  <c r="I29" i="1"/>
  <c r="J28" i="1"/>
  <c r="K28" i="1"/>
  <c r="I28" i="1"/>
  <c r="J27" i="1"/>
  <c r="K27" i="1"/>
  <c r="I27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19" i="1"/>
  <c r="I24" i="1" l="1"/>
  <c r="U4" i="1"/>
  <c r="D20" i="1" s="1"/>
  <c r="U5" i="1"/>
  <c r="D21" i="1" s="1"/>
  <c r="U6" i="1"/>
  <c r="D22" i="1" s="1"/>
  <c r="U7" i="1"/>
  <c r="D23" i="1" s="1"/>
  <c r="U8" i="1"/>
  <c r="D24" i="1" s="1"/>
  <c r="K25" i="1" s="1"/>
  <c r="U9" i="1"/>
  <c r="D25" i="1" s="1"/>
  <c r="U10" i="1"/>
  <c r="D26" i="1" s="1"/>
  <c r="U11" i="1"/>
  <c r="D27" i="1" s="1"/>
  <c r="U12" i="1"/>
  <c r="D28" i="1" s="1"/>
  <c r="U13" i="1"/>
  <c r="D29" i="1" s="1"/>
  <c r="U14" i="1"/>
  <c r="D30" i="1" s="1"/>
  <c r="U15" i="1"/>
  <c r="D31" i="1" s="1"/>
  <c r="U16" i="1"/>
  <c r="D32" i="1" s="1"/>
  <c r="U17" i="1"/>
  <c r="D33" i="1" s="1"/>
  <c r="U18" i="1"/>
  <c r="D34" i="1" s="1"/>
  <c r="U19" i="1"/>
  <c r="D35" i="1" s="1"/>
  <c r="U20" i="1"/>
  <c r="D36" i="1" s="1"/>
  <c r="U3" i="1"/>
  <c r="D19" i="1" s="1"/>
  <c r="J25" i="1"/>
  <c r="I25" i="1"/>
  <c r="J24" i="1"/>
  <c r="D16" i="1"/>
  <c r="C16" i="1"/>
  <c r="B16" i="1"/>
  <c r="K24" i="1" l="1"/>
  <c r="I35" i="1"/>
  <c r="I34" i="1"/>
  <c r="J30" i="1"/>
  <c r="K30" i="1"/>
  <c r="I30" i="1"/>
</calcChain>
</file>

<file path=xl/sharedStrings.xml><?xml version="1.0" encoding="utf-8"?>
<sst xmlns="http://schemas.openxmlformats.org/spreadsheetml/2006/main" count="58" uniqueCount="54">
  <si>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</si>
  <si>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</si>
  <si>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</si>
  <si>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</si>
  <si>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</si>
  <si>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</si>
  <si>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</si>
  <si>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</si>
  <si>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</si>
  <si>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</si>
  <si>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</si>
  <si>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</si>
  <si>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</si>
  <si>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</si>
  <si>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</si>
  <si>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</si>
  <si>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</si>
  <si>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</si>
  <si>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</si>
  <si>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</si>
  <si>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</si>
  <si>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</si>
  <si>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</si>
  <si>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</si>
  <si>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</si>
  <si>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</si>
  <si>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</si>
  <si>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</si>
  <si>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</si>
  <si>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</si>
  <si>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</si>
  <si>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</si>
  <si>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</si>
  <si>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</si>
  <si>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</si>
  <si>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 301 Spring 2020</t>
  </si>
  <si>
    <t>Chemical Engineering Thermodynamics</t>
  </si>
  <si>
    <t>&lt;50</t>
  </si>
  <si>
    <t>50-70</t>
  </si>
  <si>
    <t>&gt;70</t>
  </si>
  <si>
    <t>1A,1B</t>
  </si>
  <si>
    <t>4A,4B,4C</t>
  </si>
  <si>
    <t>2, 5A,5B,5C</t>
  </si>
  <si>
    <t>&lt;100</t>
  </si>
  <si>
    <t>100-140</t>
  </si>
  <si>
    <t>&gt;140</t>
  </si>
  <si>
    <r>
      <rPr>
        <b/>
        <sz val="11"/>
        <color rgb="FF0000FF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nsatisfactory</t>
    </r>
  </si>
  <si>
    <r>
      <rPr>
        <b/>
        <sz val="11"/>
        <color rgb="FF0000FF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eveloping</t>
    </r>
  </si>
  <si>
    <r>
      <rPr>
        <b/>
        <sz val="11"/>
        <color rgb="FF0000FF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atisfactory</t>
    </r>
  </si>
  <si>
    <t>Assessment rubric: Final exam,  Problems 1,2,4,5</t>
  </si>
  <si>
    <t>Prepared by: M. Caracotsios</t>
  </si>
  <si>
    <t>An ability to identify, formulate, and solve complex engineering problems by applying principles of engineering, science, and mathematics.</t>
  </si>
  <si>
    <t>2+5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</si>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</sst>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4" fillId="6" borderId="0" xfId="0" applyFont="1" applyFill="1"/>
    <xf numFmtId="2" fontId="0" fillId="0" borderId="0" xfId="0" applyNumberFormat="1" applyFill="1"/>
    <xf numFmtId="0" fontId="1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left" indent="1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7" borderId="5" xfId="0" applyFill="1" applyBorder="1"/>
    <xf numFmtId="0" fontId="0" fillId="7" borderId="5" xfId="0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4" borderId="5" xfId="0" applyFont="1" applyFill="1" applyBorder="1"/>
    <xf numFmtId="0" fontId="1" fillId="3" borderId="9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right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6" borderId="0" xfId="0" applyFont="1" applyFill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5"/>
  <sheetViews>
    <sheetView tabSelected="1" workbookViewId="0">
      <selection activeCell="H21" sqref="H21:K25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4" max="4" width="12.28515625" customWidth="1"/>
    <col min="8" max="8" width="14.5703125" customWidth="1"/>
    <col min="9" max="9" width="13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2" t="s">
        <v>35</v>
      </c>
      <c r="F1" s="56" t="s">
        <v>22</v>
      </c>
      <c r="G1" s="56"/>
      <c r="H1" s="56"/>
      <c r="Q1" s="57" t="s">
        <v>53</v>
      </c>
      <c r="R1" s="58"/>
      <c r="S1" s="58"/>
      <c r="T1" s="58"/>
      <c r="U1" s="59"/>
    </row>
    <row r="2" spans="1:22" ht="15.75" x14ac:dyDescent="0.25">
      <c r="A2" s="1" t="s">
        <v>36</v>
      </c>
      <c r="F2" s="11" t="s">
        <v>51</v>
      </c>
      <c r="Q2" s="39">
        <v>1</v>
      </c>
      <c r="R2" s="39">
        <v>2</v>
      </c>
      <c r="S2" s="39">
        <v>4</v>
      </c>
      <c r="T2" s="39">
        <v>5</v>
      </c>
      <c r="U2" s="40" t="s">
        <v>52</v>
      </c>
    </row>
    <row r="3" spans="1:22" x14ac:dyDescent="0.25">
      <c r="A3" s="3" t="s">
        <v>28</v>
      </c>
      <c r="F3" t="s">
        <v>23</v>
      </c>
      <c r="Q3" s="37">
        <v>79</v>
      </c>
      <c r="R3" s="37">
        <v>71</v>
      </c>
      <c r="S3" s="37">
        <v>81</v>
      </c>
      <c r="T3" s="37">
        <v>63</v>
      </c>
      <c r="U3" s="37">
        <f>R3+T3</f>
        <v>134</v>
      </c>
    </row>
    <row r="4" spans="1:22" x14ac:dyDescent="0.25">
      <c r="A4" s="3" t="s">
        <v>49</v>
      </c>
      <c r="B4" s="3"/>
      <c r="C4" s="3"/>
      <c r="D4" s="3"/>
      <c r="Q4" s="37">
        <v>94</v>
      </c>
      <c r="R4" s="37">
        <v>98</v>
      </c>
      <c r="S4" s="37">
        <v>85</v>
      </c>
      <c r="T4" s="37">
        <v>87</v>
      </c>
      <c r="U4" s="37">
        <f t="shared" ref="U4:U20" si="0">R4+T4</f>
        <v>185</v>
      </c>
    </row>
    <row r="5" spans="1:22" x14ac:dyDescent="0.25">
      <c r="A5" s="3" t="s">
        <v>50</v>
      </c>
      <c r="B5" s="3"/>
      <c r="C5" s="3"/>
      <c r="D5" s="3"/>
      <c r="E5" s="3"/>
      <c r="F5" s="1" t="s">
        <v>24</v>
      </c>
      <c r="G5" s="3"/>
      <c r="Q5" s="37">
        <v>96</v>
      </c>
      <c r="R5" s="37">
        <v>98</v>
      </c>
      <c r="S5" s="37">
        <v>82</v>
      </c>
      <c r="T5" s="37">
        <v>90</v>
      </c>
      <c r="U5" s="37">
        <f t="shared" si="0"/>
        <v>188</v>
      </c>
    </row>
    <row r="6" spans="1:22" x14ac:dyDescent="0.25">
      <c r="A6" s="3"/>
      <c r="B6" s="3"/>
      <c r="C6" s="3"/>
      <c r="D6" s="3"/>
      <c r="E6" s="3"/>
      <c r="F6" s="3" t="s">
        <v>25</v>
      </c>
      <c r="G6" s="3"/>
      <c r="Q6" s="37">
        <v>8</v>
      </c>
      <c r="R6" s="37">
        <v>88</v>
      </c>
      <c r="S6" s="37">
        <v>10</v>
      </c>
      <c r="T6" s="37">
        <v>20</v>
      </c>
      <c r="U6" s="37">
        <f t="shared" si="0"/>
        <v>108</v>
      </c>
    </row>
    <row r="7" spans="1:22" x14ac:dyDescent="0.25">
      <c r="A7" s="3"/>
      <c r="F7" t="s">
        <v>26</v>
      </c>
      <c r="Q7" s="37">
        <v>94</v>
      </c>
      <c r="R7" s="37">
        <v>98</v>
      </c>
      <c r="S7" s="37">
        <v>94</v>
      </c>
      <c r="T7" s="37">
        <v>100</v>
      </c>
      <c r="U7" s="37">
        <f t="shared" si="0"/>
        <v>198</v>
      </c>
    </row>
    <row r="8" spans="1:22" x14ac:dyDescent="0.25">
      <c r="F8" t="s">
        <v>27</v>
      </c>
      <c r="Q8" s="37">
        <v>0</v>
      </c>
      <c r="R8" s="37">
        <v>20</v>
      </c>
      <c r="S8" s="37">
        <v>17</v>
      </c>
      <c r="T8" s="37">
        <v>40</v>
      </c>
      <c r="U8" s="37">
        <f t="shared" si="0"/>
        <v>60</v>
      </c>
    </row>
    <row r="9" spans="1:22" x14ac:dyDescent="0.25">
      <c r="A9" s="9" t="s">
        <v>16</v>
      </c>
      <c r="B9" s="5"/>
      <c r="C9" s="5"/>
      <c r="F9" t="s">
        <v>31</v>
      </c>
      <c r="Q9" s="37">
        <v>94</v>
      </c>
      <c r="R9" s="37">
        <v>98</v>
      </c>
      <c r="S9" s="37">
        <v>92</v>
      </c>
      <c r="T9" s="37">
        <v>75</v>
      </c>
      <c r="U9" s="37">
        <f t="shared" si="0"/>
        <v>173</v>
      </c>
    </row>
    <row r="10" spans="1:22" x14ac:dyDescent="0.25">
      <c r="A10" s="5">
        <v>1</v>
      </c>
      <c r="B10" s="5" t="s">
        <v>1</v>
      </c>
      <c r="C10" s="5"/>
      <c r="F10" t="s">
        <v>32</v>
      </c>
      <c r="Q10" s="37">
        <v>51</v>
      </c>
      <c r="R10" s="37">
        <v>73</v>
      </c>
      <c r="S10" s="37">
        <v>18</v>
      </c>
      <c r="T10" s="37">
        <v>0</v>
      </c>
      <c r="U10" s="37">
        <f t="shared" si="0"/>
        <v>73</v>
      </c>
    </row>
    <row r="11" spans="1:22" x14ac:dyDescent="0.25">
      <c r="A11" s="5">
        <v>2</v>
      </c>
      <c r="B11" s="5" t="s">
        <v>2</v>
      </c>
      <c r="C11" s="5"/>
      <c r="F11" t="s">
        <v>33</v>
      </c>
      <c r="Q11" s="37">
        <v>87</v>
      </c>
      <c r="R11" s="37">
        <v>89</v>
      </c>
      <c r="S11" s="37">
        <v>85</v>
      </c>
      <c r="T11" s="37">
        <v>100</v>
      </c>
      <c r="U11" s="37">
        <f t="shared" si="0"/>
        <v>189</v>
      </c>
    </row>
    <row r="12" spans="1:22" x14ac:dyDescent="0.25">
      <c r="A12" s="5">
        <v>3</v>
      </c>
      <c r="B12" s="5" t="s">
        <v>3</v>
      </c>
      <c r="C12" s="5"/>
      <c r="F12" t="s">
        <v>34</v>
      </c>
      <c r="Q12" s="37">
        <v>91</v>
      </c>
      <c r="R12" s="37">
        <v>98</v>
      </c>
      <c r="S12" s="37">
        <v>89</v>
      </c>
      <c r="T12" s="37">
        <v>95</v>
      </c>
      <c r="U12" s="37">
        <f t="shared" si="0"/>
        <v>193</v>
      </c>
    </row>
    <row r="13" spans="1:22" x14ac:dyDescent="0.25">
      <c r="A13" s="5"/>
      <c r="B13" s="5"/>
      <c r="C13" s="5"/>
      <c r="Q13" s="37">
        <v>16</v>
      </c>
      <c r="R13" s="37">
        <v>20</v>
      </c>
      <c r="S13" s="37">
        <v>10</v>
      </c>
      <c r="T13" s="37">
        <v>38</v>
      </c>
      <c r="U13" s="37">
        <f t="shared" si="0"/>
        <v>58</v>
      </c>
      <c r="V13" t="s">
        <v>30</v>
      </c>
    </row>
    <row r="14" spans="1:22" x14ac:dyDescent="0.25">
      <c r="H14" s="12" t="s">
        <v>19</v>
      </c>
      <c r="Q14" s="37">
        <v>94</v>
      </c>
      <c r="R14" s="37">
        <v>93</v>
      </c>
      <c r="S14" s="37">
        <v>97</v>
      </c>
      <c r="T14" s="37">
        <v>100</v>
      </c>
      <c r="U14" s="37">
        <f t="shared" si="0"/>
        <v>193</v>
      </c>
    </row>
    <row r="15" spans="1:22" x14ac:dyDescent="0.25">
      <c r="A15" s="47" t="s">
        <v>29</v>
      </c>
      <c r="B15" s="47">
        <v>1</v>
      </c>
      <c r="C15" s="47">
        <v>2</v>
      </c>
      <c r="D15" s="47">
        <v>4</v>
      </c>
      <c r="E15" s="47"/>
      <c r="H15" s="14" t="s">
        <v>20</v>
      </c>
      <c r="I15" s="14" t="s">
        <v>18</v>
      </c>
      <c r="J15" s="14" t="s">
        <v>21</v>
      </c>
      <c r="K15" s="14" t="s">
        <v>46</v>
      </c>
      <c r="L15" s="14" t="s">
        <v>47</v>
      </c>
      <c r="M15" s="14" t="s">
        <v>48</v>
      </c>
      <c r="Q15" s="37">
        <v>96</v>
      </c>
      <c r="R15" s="37">
        <v>98</v>
      </c>
      <c r="S15" s="37">
        <v>92</v>
      </c>
      <c r="T15" s="37">
        <v>80</v>
      </c>
      <c r="U15" s="37">
        <f t="shared" si="0"/>
        <v>178</v>
      </c>
    </row>
    <row r="16" spans="1:22" x14ac:dyDescent="0.25">
      <c r="A16" s="48" t="s">
        <v>18</v>
      </c>
      <c r="B16" s="49" t="str">
        <f>I16</f>
        <v>1A,1B</v>
      </c>
      <c r="C16" s="49" t="str">
        <f>I17</f>
        <v>4A,4B,4C</v>
      </c>
      <c r="D16" s="49" t="str">
        <f>I18</f>
        <v>2, 5A,5B,5C</v>
      </c>
      <c r="E16" s="49"/>
      <c r="F16" s="2"/>
      <c r="G16" s="2"/>
      <c r="H16" s="41">
        <v>1</v>
      </c>
      <c r="I16" s="28" t="s">
        <v>40</v>
      </c>
      <c r="J16" s="28">
        <v>100</v>
      </c>
      <c r="K16" s="34" t="s">
        <v>37</v>
      </c>
      <c r="L16" s="35" t="s">
        <v>38</v>
      </c>
      <c r="M16" s="34" t="s">
        <v>39</v>
      </c>
      <c r="Q16" s="37">
        <v>72</v>
      </c>
      <c r="R16" s="37">
        <v>75</v>
      </c>
      <c r="S16" s="37">
        <v>90</v>
      </c>
      <c r="T16" s="37">
        <v>80</v>
      </c>
      <c r="U16" s="37">
        <f t="shared" si="0"/>
        <v>155</v>
      </c>
    </row>
    <row r="17" spans="1:21" x14ac:dyDescent="0.25">
      <c r="B17" s="2"/>
      <c r="H17" s="42">
        <v>2</v>
      </c>
      <c r="I17" s="29" t="s">
        <v>41</v>
      </c>
      <c r="J17" s="29">
        <v>100</v>
      </c>
      <c r="K17" s="30" t="s">
        <v>37</v>
      </c>
      <c r="L17" s="31" t="s">
        <v>38</v>
      </c>
      <c r="M17" s="30" t="s">
        <v>39</v>
      </c>
      <c r="Q17" s="37">
        <v>96</v>
      </c>
      <c r="R17" s="37">
        <v>93</v>
      </c>
      <c r="S17" s="37">
        <v>91</v>
      </c>
      <c r="T17" s="37">
        <v>94</v>
      </c>
      <c r="U17" s="37">
        <f t="shared" si="0"/>
        <v>187</v>
      </c>
    </row>
    <row r="18" spans="1:21" x14ac:dyDescent="0.25">
      <c r="A18" s="36" t="s">
        <v>6</v>
      </c>
      <c r="B18" s="2"/>
      <c r="H18" s="43">
        <v>4</v>
      </c>
      <c r="I18" s="32" t="s">
        <v>42</v>
      </c>
      <c r="J18" s="32">
        <v>200</v>
      </c>
      <c r="K18" s="33" t="s">
        <v>43</v>
      </c>
      <c r="L18" s="33" t="s">
        <v>44</v>
      </c>
      <c r="M18" s="33" t="s">
        <v>45</v>
      </c>
      <c r="Q18" s="37">
        <v>85</v>
      </c>
      <c r="R18" s="37">
        <v>83</v>
      </c>
      <c r="S18" s="37">
        <v>89</v>
      </c>
      <c r="T18" s="37">
        <v>95</v>
      </c>
      <c r="U18" s="37">
        <f t="shared" si="0"/>
        <v>178</v>
      </c>
    </row>
    <row r="19" spans="1:21" x14ac:dyDescent="0.25">
      <c r="A19" s="10">
        <v>1</v>
      </c>
      <c r="B19" s="10">
        <f t="shared" ref="B19:B36" si="1">IF(Q3&gt;=70,3,IF(AND(Q3&lt;70,Q3&gt;=50),2,1))</f>
        <v>3</v>
      </c>
      <c r="C19" s="10">
        <f t="shared" ref="C19:C36" si="2">IF(R3&gt;=70,3,IF(AND(R3&lt;70,R3&gt;=50),2,1))</f>
        <v>3</v>
      </c>
      <c r="D19" s="10">
        <f t="shared" ref="D19:D36" si="3">IF(U3&gt;=140,3,IF(AND(U3&lt;140,U3&gt;=100),2,1))</f>
        <v>2</v>
      </c>
      <c r="Q19" s="37">
        <v>83</v>
      </c>
      <c r="R19" s="37">
        <v>98</v>
      </c>
      <c r="S19" s="37">
        <v>92</v>
      </c>
      <c r="T19" s="37">
        <v>98</v>
      </c>
      <c r="U19" s="37">
        <f t="shared" si="0"/>
        <v>196</v>
      </c>
    </row>
    <row r="20" spans="1:21" x14ac:dyDescent="0.25">
      <c r="A20" s="10">
        <v>2</v>
      </c>
      <c r="B20" s="10">
        <f t="shared" si="1"/>
        <v>3</v>
      </c>
      <c r="C20" s="10">
        <f t="shared" si="2"/>
        <v>3</v>
      </c>
      <c r="D20" s="10">
        <f t="shared" si="3"/>
        <v>3</v>
      </c>
      <c r="Q20" s="38">
        <v>61</v>
      </c>
      <c r="R20" s="38">
        <v>83</v>
      </c>
      <c r="S20" s="38">
        <v>0</v>
      </c>
      <c r="T20" s="38">
        <v>0</v>
      </c>
      <c r="U20" s="38">
        <f t="shared" si="0"/>
        <v>83</v>
      </c>
    </row>
    <row r="21" spans="1:21" x14ac:dyDescent="0.25">
      <c r="A21" s="10">
        <v>3</v>
      </c>
      <c r="B21" s="10">
        <f t="shared" si="1"/>
        <v>3</v>
      </c>
      <c r="C21" s="10">
        <f t="shared" si="2"/>
        <v>3</v>
      </c>
      <c r="D21" s="10">
        <f t="shared" si="3"/>
        <v>3</v>
      </c>
      <c r="H21" s="50" t="s">
        <v>14</v>
      </c>
      <c r="I21" s="51"/>
      <c r="J21" s="51"/>
      <c r="K21" s="52"/>
      <c r="L21" s="4"/>
    </row>
    <row r="22" spans="1:21" x14ac:dyDescent="0.25">
      <c r="A22" s="10">
        <v>4</v>
      </c>
      <c r="B22" s="10">
        <f t="shared" si="1"/>
        <v>1</v>
      </c>
      <c r="C22" s="10">
        <f t="shared" si="2"/>
        <v>3</v>
      </c>
      <c r="D22" s="10">
        <f t="shared" si="3"/>
        <v>2</v>
      </c>
      <c r="H22" s="20" t="s">
        <v>17</v>
      </c>
      <c r="I22" s="21">
        <v>1</v>
      </c>
      <c r="J22" s="21">
        <v>2</v>
      </c>
      <c r="K22" s="21">
        <v>4</v>
      </c>
      <c r="L22" s="4"/>
    </row>
    <row r="23" spans="1:21" x14ac:dyDescent="0.25">
      <c r="A23" s="10">
        <v>5</v>
      </c>
      <c r="B23" s="10">
        <f t="shared" si="1"/>
        <v>3</v>
      </c>
      <c r="C23" s="10">
        <f t="shared" si="2"/>
        <v>3</v>
      </c>
      <c r="D23" s="10">
        <f t="shared" si="3"/>
        <v>3</v>
      </c>
      <c r="H23" s="15" t="s">
        <v>15</v>
      </c>
      <c r="I23" s="16">
        <v>1</v>
      </c>
      <c r="J23" s="16">
        <v>1</v>
      </c>
      <c r="K23" s="16">
        <v>1</v>
      </c>
      <c r="L23" s="6"/>
    </row>
    <row r="24" spans="1:21" x14ac:dyDescent="0.25">
      <c r="A24" s="10">
        <v>6</v>
      </c>
      <c r="B24" s="10">
        <f t="shared" si="1"/>
        <v>1</v>
      </c>
      <c r="C24" s="10">
        <f t="shared" si="2"/>
        <v>1</v>
      </c>
      <c r="D24" s="10">
        <f t="shared" si="3"/>
        <v>1</v>
      </c>
      <c r="H24" s="15" t="s">
        <v>4</v>
      </c>
      <c r="I24" s="17">
        <f>AVERAGE(B19:B36)</f>
        <v>2.5555555555555554</v>
      </c>
      <c r="J24" s="17">
        <f>AVERAGE(C19:C36)</f>
        <v>2.7777777777777777</v>
      </c>
      <c r="K24" s="17">
        <f>AVERAGE(D19:D36)</f>
        <v>2.4444444444444446</v>
      </c>
      <c r="L24" s="13"/>
    </row>
    <row r="25" spans="1:21" x14ac:dyDescent="0.25">
      <c r="A25" s="10">
        <v>7</v>
      </c>
      <c r="B25" s="10">
        <f t="shared" si="1"/>
        <v>3</v>
      </c>
      <c r="C25" s="10">
        <f t="shared" si="2"/>
        <v>3</v>
      </c>
      <c r="D25" s="10">
        <f t="shared" si="3"/>
        <v>3</v>
      </c>
      <c r="H25" s="15" t="s">
        <v>5</v>
      </c>
      <c r="I25" s="17">
        <f>STDEV(B19:B36)</f>
        <v>0.7838233761296739</v>
      </c>
      <c r="J25" s="17">
        <f>STDEV(C19:C36)</f>
        <v>0.64676166676355473</v>
      </c>
      <c r="K25" s="17">
        <f>STDEV(D19:D36)</f>
        <v>0.85558526389299716</v>
      </c>
      <c r="L25" s="13"/>
    </row>
    <row r="26" spans="1:21" x14ac:dyDescent="0.25">
      <c r="A26" s="10">
        <v>8</v>
      </c>
      <c r="B26" s="10">
        <f t="shared" si="1"/>
        <v>2</v>
      </c>
      <c r="C26" s="10">
        <f t="shared" si="2"/>
        <v>3</v>
      </c>
      <c r="D26" s="10">
        <f t="shared" si="3"/>
        <v>1</v>
      </c>
      <c r="H26" s="16"/>
      <c r="I26" s="16"/>
      <c r="J26" s="16"/>
      <c r="K26" s="16"/>
      <c r="L26" s="4"/>
    </row>
    <row r="27" spans="1:21" x14ac:dyDescent="0.25">
      <c r="A27" s="10">
        <v>9</v>
      </c>
      <c r="B27" s="10">
        <f t="shared" si="1"/>
        <v>3</v>
      </c>
      <c r="C27" s="10">
        <f t="shared" si="2"/>
        <v>3</v>
      </c>
      <c r="D27" s="10">
        <f t="shared" si="3"/>
        <v>3</v>
      </c>
      <c r="H27" s="18" t="s">
        <v>9</v>
      </c>
      <c r="I27" s="16">
        <f>COUNTIF(B19:B36,3)</f>
        <v>13</v>
      </c>
      <c r="J27" s="16">
        <f t="shared" ref="J27:K27" si="4">COUNTIF(C19:C36,3)</f>
        <v>16</v>
      </c>
      <c r="K27" s="16">
        <f t="shared" si="4"/>
        <v>12</v>
      </c>
      <c r="L27" s="4"/>
    </row>
    <row r="28" spans="1:21" x14ac:dyDescent="0.25">
      <c r="A28" s="10">
        <v>10</v>
      </c>
      <c r="B28" s="10">
        <f t="shared" si="1"/>
        <v>3</v>
      </c>
      <c r="C28" s="10">
        <f t="shared" si="2"/>
        <v>3</v>
      </c>
      <c r="D28" s="10">
        <f t="shared" si="3"/>
        <v>3</v>
      </c>
      <c r="H28" s="18" t="s">
        <v>10</v>
      </c>
      <c r="I28" s="16">
        <f>COUNTIF(B19:B36,2)</f>
        <v>2</v>
      </c>
      <c r="J28" s="16">
        <f t="shared" ref="J28:K28" si="5">COUNTIF(C19:C36,2)</f>
        <v>0</v>
      </c>
      <c r="K28" s="16">
        <f t="shared" si="5"/>
        <v>2</v>
      </c>
      <c r="L28" s="4"/>
    </row>
    <row r="29" spans="1:21" x14ac:dyDescent="0.25">
      <c r="A29" s="10">
        <v>11</v>
      </c>
      <c r="B29" s="10">
        <f t="shared" si="1"/>
        <v>1</v>
      </c>
      <c r="C29" s="10">
        <f t="shared" si="2"/>
        <v>1</v>
      </c>
      <c r="D29" s="10">
        <f t="shared" si="3"/>
        <v>1</v>
      </c>
      <c r="H29" s="46" t="s">
        <v>7</v>
      </c>
      <c r="I29" s="19">
        <f>COUNTIF(B19:B36,1)</f>
        <v>3</v>
      </c>
      <c r="J29" s="19">
        <f t="shared" ref="J29:K29" si="6">COUNTIF(C19:C36,1)</f>
        <v>2</v>
      </c>
      <c r="K29" s="19">
        <f t="shared" si="6"/>
        <v>4</v>
      </c>
      <c r="L29" s="4"/>
    </row>
    <row r="30" spans="1:21" x14ac:dyDescent="0.25">
      <c r="A30" s="10">
        <v>12</v>
      </c>
      <c r="B30" s="10">
        <f t="shared" si="1"/>
        <v>3</v>
      </c>
      <c r="C30" s="10">
        <f t="shared" si="2"/>
        <v>3</v>
      </c>
      <c r="D30" s="10">
        <f t="shared" si="3"/>
        <v>3</v>
      </c>
      <c r="H30" s="45" t="s">
        <v>8</v>
      </c>
      <c r="I30" s="45">
        <f>SUM(I26:I29)</f>
        <v>18</v>
      </c>
      <c r="J30" s="45">
        <f t="shared" ref="J30:K30" si="7">SUM(J26:J29)</f>
        <v>18</v>
      </c>
      <c r="K30" s="45">
        <f t="shared" si="7"/>
        <v>18</v>
      </c>
      <c r="L30" s="4"/>
    </row>
    <row r="31" spans="1:21" x14ac:dyDescent="0.25">
      <c r="A31" s="10">
        <v>13</v>
      </c>
      <c r="B31" s="10">
        <f t="shared" si="1"/>
        <v>3</v>
      </c>
      <c r="C31" s="10">
        <f t="shared" si="2"/>
        <v>3</v>
      </c>
      <c r="D31" s="10">
        <f t="shared" si="3"/>
        <v>3</v>
      </c>
      <c r="L31" s="4"/>
    </row>
    <row r="32" spans="1:21" x14ac:dyDescent="0.25">
      <c r="A32" s="10">
        <v>14</v>
      </c>
      <c r="B32" s="10">
        <f t="shared" si="1"/>
        <v>3</v>
      </c>
      <c r="C32" s="10">
        <f t="shared" si="2"/>
        <v>3</v>
      </c>
      <c r="D32" s="10">
        <f t="shared" si="3"/>
        <v>3</v>
      </c>
      <c r="H32" s="53" t="s">
        <v>13</v>
      </c>
      <c r="I32" s="54"/>
      <c r="J32" s="55"/>
      <c r="K32" s="22"/>
      <c r="L32" s="4"/>
    </row>
    <row r="33" spans="1:12" x14ac:dyDescent="0.25">
      <c r="A33" s="10">
        <v>15</v>
      </c>
      <c r="B33" s="10">
        <f t="shared" si="1"/>
        <v>3</v>
      </c>
      <c r="C33" s="10">
        <f t="shared" si="2"/>
        <v>3</v>
      </c>
      <c r="D33" s="10">
        <f t="shared" si="3"/>
        <v>3</v>
      </c>
      <c r="H33" s="27" t="s">
        <v>0</v>
      </c>
      <c r="I33" s="44">
        <v>1</v>
      </c>
      <c r="J33" s="27"/>
      <c r="K33" s="23"/>
      <c r="L33" s="4"/>
    </row>
    <row r="34" spans="1:12" x14ac:dyDescent="0.25">
      <c r="A34" s="10">
        <v>16</v>
      </c>
      <c r="B34" s="10">
        <f t="shared" si="1"/>
        <v>3</v>
      </c>
      <c r="C34" s="10">
        <f t="shared" si="2"/>
        <v>3</v>
      </c>
      <c r="D34" s="10">
        <f t="shared" si="3"/>
        <v>3</v>
      </c>
      <c r="H34" s="23" t="s">
        <v>11</v>
      </c>
      <c r="I34" s="24">
        <f>AVERAGE(I24:K24)</f>
        <v>2.5925925925925926</v>
      </c>
      <c r="J34" s="24"/>
      <c r="K34" s="24"/>
      <c r="L34" s="13"/>
    </row>
    <row r="35" spans="1:12" x14ac:dyDescent="0.25">
      <c r="A35" s="10">
        <v>17</v>
      </c>
      <c r="B35" s="10">
        <f t="shared" si="1"/>
        <v>3</v>
      </c>
      <c r="C35" s="10">
        <f t="shared" si="2"/>
        <v>3</v>
      </c>
      <c r="D35" s="10">
        <f t="shared" si="3"/>
        <v>3</v>
      </c>
      <c r="H35" s="25" t="s">
        <v>12</v>
      </c>
      <c r="I35" s="26">
        <f>_xlfn.STDEV.P(I24:K24)</f>
        <v>0.13857990321384958</v>
      </c>
      <c r="J35" s="26"/>
      <c r="K35" s="26"/>
      <c r="L35" s="13"/>
    </row>
    <row r="36" spans="1:12" x14ac:dyDescent="0.25">
      <c r="A36" s="10">
        <v>18</v>
      </c>
      <c r="B36" s="10">
        <f t="shared" si="1"/>
        <v>2</v>
      </c>
      <c r="C36" s="10">
        <f t="shared" si="2"/>
        <v>3</v>
      </c>
      <c r="D36" s="10">
        <f t="shared" si="3"/>
        <v>1</v>
      </c>
    </row>
    <row r="37" spans="1:12" x14ac:dyDescent="0.25">
      <c r="A37" s="10"/>
      <c r="B37" s="10"/>
      <c r="C37" s="10"/>
      <c r="D37" s="10"/>
    </row>
    <row r="38" spans="1:12" x14ac:dyDescent="0.25">
      <c r="A38" s="10"/>
      <c r="B38" s="10"/>
      <c r="C38" s="10"/>
      <c r="D38" s="10"/>
    </row>
    <row r="39" spans="1:12" x14ac:dyDescent="0.25">
      <c r="A39" s="10"/>
      <c r="B39" s="10"/>
      <c r="C39" s="10"/>
      <c r="D39" s="10"/>
    </row>
    <row r="40" spans="1:12" x14ac:dyDescent="0.25">
      <c r="B40" s="2"/>
    </row>
    <row r="53" spans="1:7" x14ac:dyDescent="0.25">
      <c r="F53" s="4"/>
    </row>
    <row r="54" spans="1:7" x14ac:dyDescent="0.25">
      <c r="F54" s="4"/>
    </row>
    <row r="55" spans="1:7" x14ac:dyDescent="0.25">
      <c r="F55" s="13"/>
    </row>
    <row r="56" spans="1:7" x14ac:dyDescent="0.25">
      <c r="F56" s="13"/>
    </row>
    <row r="57" spans="1:7" x14ac:dyDescent="0.25">
      <c r="F57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8" spans="9:13" x14ac:dyDescent="0.25">
      <c r="I68" s="2"/>
      <c r="J68" s="2"/>
      <c r="K68" s="2"/>
      <c r="L68" s="2"/>
      <c r="M68" s="2"/>
    </row>
    <row r="138" spans="1:18" x14ac:dyDescent="0.25">
      <c r="Q138" s="4"/>
      <c r="R138" s="4"/>
    </row>
    <row r="139" spans="1:18" x14ac:dyDescent="0.25">
      <c r="Q139" s="4"/>
      <c r="R139" s="4"/>
    </row>
    <row r="140" spans="1:18" x14ac:dyDescent="0.25">
      <c r="Q140" s="4"/>
      <c r="R140" s="4"/>
    </row>
    <row r="141" spans="1:1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6"/>
      <c r="I153" s="6"/>
      <c r="J153" s="6"/>
      <c r="K153" s="6"/>
      <c r="L153" s="6"/>
      <c r="M153" s="6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</sheetData>
  <sortState ref="D19:D39">
    <sortCondition ref="D19:D39"/>
  </sortState>
  <mergeCells count="4">
    <mergeCell ref="H21:K21"/>
    <mergeCell ref="H32:J32"/>
    <mergeCell ref="F1:H1"/>
    <mergeCell ref="Q1:U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Michael</cp:lastModifiedBy>
  <dcterms:created xsi:type="dcterms:W3CDTF">2013-01-15T05:38:26Z</dcterms:created>
  <dcterms:modified xsi:type="dcterms:W3CDTF">2020-05-13T16:56:18Z</dcterms:modified>
</cp:coreProperties>
</file>