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ABET_2020-InProgress\2020_SelfStudyReport\Criterion3-StudentOutcomes\CourseRubricAssessment\CHE 499\"/>
    </mc:Choice>
  </mc:AlternateContent>
  <xr:revisionPtr revIDLastSave="0" documentId="13_ncr:1_{E9D1703B-E632-4F30-86F9-70765F843F67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7" i="1" l="1"/>
  <c r="B96" i="1"/>
  <c r="F97" i="1"/>
  <c r="D97" i="1"/>
  <c r="E86" i="1"/>
  <c r="B86" i="1"/>
  <c r="F96" i="1" s="1"/>
  <c r="C86" i="1"/>
  <c r="D86" i="1"/>
  <c r="F86" i="1"/>
  <c r="D96" i="1" s="1"/>
  <c r="G86" i="1"/>
  <c r="H86" i="1"/>
  <c r="I86" i="1"/>
  <c r="J86" i="1"/>
  <c r="K86" i="1"/>
  <c r="B87" i="1"/>
  <c r="C87" i="1"/>
  <c r="D87" i="1"/>
  <c r="E87" i="1"/>
  <c r="F87" i="1"/>
  <c r="G87" i="1"/>
  <c r="H87" i="1"/>
  <c r="I87" i="1"/>
  <c r="J87" i="1"/>
  <c r="K87" i="1"/>
  <c r="E97" i="1" l="1"/>
  <c r="C96" i="1"/>
  <c r="E96" i="1"/>
  <c r="C97" i="1"/>
  <c r="A20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</calcChain>
</file>

<file path=xl/sharedStrings.xml><?xml version="1.0" encoding="utf-8"?>
<sst xmlns="http://schemas.openxmlformats.org/spreadsheetml/2006/main" count="28" uniqueCount="22">
  <si>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</si>
  <si>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</si>
  <si>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</si>
  <si>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</si>
  <si>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</si>
  <si>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</si>
  <si>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</si>
  <si>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</si>
  <si>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RESULTS BY PERFORMANCE INDICATOR</t>
  </si>
  <si>
    <t>Rubric Item (PI)</t>
  </si>
  <si>
    <t>RATINGS</t>
  </si>
  <si>
    <t>Mapped SLO</t>
  </si>
  <si>
    <t>Assessment of student learning outcomes (SLO)</t>
  </si>
  <si>
    <t>ChE 499 Spring 2015</t>
  </si>
  <si>
    <t>Senior graduate written examination</t>
  </si>
  <si>
    <t>Assessment rubric for engineering fundamentals and professionalism/broader knowledge</t>
  </si>
  <si>
    <t>Prepared by:</t>
  </si>
  <si>
    <t>Written Exam Questions 1-5</t>
  </si>
  <si>
    <t>1,6</t>
  </si>
  <si>
    <t>RESULTS BY STUDENT OUTCOME</t>
  </si>
  <si>
    <t>SLO</t>
  </si>
  <si>
    <t>Rubric item (PI)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</si>
</sst>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0" borderId="0" xfId="0" applyNumberFormat="1" applyFill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1" fillId="0" borderId="0" xfId="0" applyFont="1" applyFill="1" applyBorder="1"/>
    <xf numFmtId="0" fontId="0" fillId="0" borderId="0" xfId="0" applyFill="1" applyBorder="1" applyAlignment="1">
      <alignment horizontal="right"/>
    </xf>
    <xf numFmtId="2" fontId="0" fillId="0" borderId="0" xfId="0" applyNumberFormat="1" applyFill="1" applyBorder="1"/>
    <xf numFmtId="0" fontId="1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5"/>
  <sheetViews>
    <sheetView tabSelected="1" zoomScale="90" zoomScaleNormal="90" workbookViewId="0">
      <selection activeCell="E101" sqref="E101"/>
    </sheetView>
  </sheetViews>
  <sheetFormatPr defaultRowHeight="15" x14ac:dyDescent="0.25"/>
  <cols>
    <col min="1" max="1" width="20.140625" customWidth="1"/>
    <col min="2" max="2" width="11.5703125" customWidth="1"/>
    <col min="7" max="7" width="9.5703125" bestFit="1" customWidth="1"/>
    <col min="14" max="14" width="17.85546875" customWidth="1"/>
    <col min="15" max="15" width="13.140625" customWidth="1"/>
    <col min="17" max="17" width="11.28515625" customWidth="1"/>
    <col min="20" max="20" width="15.85546875" customWidth="1"/>
    <col min="22" max="22" width="11.7109375" customWidth="1"/>
    <col min="25" max="25" width="18.42578125" customWidth="1"/>
  </cols>
  <sheetData>
    <row r="1" spans="1:27" x14ac:dyDescent="0.25">
      <c r="A1" s="1" t="s">
        <v>13</v>
      </c>
    </row>
    <row r="2" spans="1:27" x14ac:dyDescent="0.25">
      <c r="A2" s="1" t="s">
        <v>14</v>
      </c>
    </row>
    <row r="3" spans="1:27" x14ac:dyDescent="0.25">
      <c r="A3" s="1" t="s">
        <v>12</v>
      </c>
    </row>
    <row r="4" spans="1:27" x14ac:dyDescent="0.25">
      <c r="A4" s="3" t="s">
        <v>15</v>
      </c>
      <c r="B4" s="3"/>
      <c r="C4" s="3"/>
      <c r="D4" s="3"/>
    </row>
    <row r="5" spans="1:27" x14ac:dyDescent="0.25">
      <c r="A5" s="3" t="s">
        <v>16</v>
      </c>
      <c r="B5" s="3"/>
      <c r="C5" s="3"/>
      <c r="D5" s="3"/>
      <c r="E5" s="3"/>
      <c r="F5" s="3"/>
      <c r="G5" s="3"/>
    </row>
    <row r="6" spans="1:27" x14ac:dyDescent="0.25">
      <c r="A6" s="3"/>
      <c r="B6" s="3"/>
      <c r="C6" s="3"/>
      <c r="D6" s="3"/>
      <c r="E6" s="3"/>
      <c r="F6" s="3"/>
      <c r="G6" s="3"/>
    </row>
    <row r="7" spans="1:27" x14ac:dyDescent="0.25">
      <c r="A7" s="3"/>
    </row>
    <row r="9" spans="1:27" x14ac:dyDescent="0.25">
      <c r="A9" s="12" t="s">
        <v>10</v>
      </c>
      <c r="B9" s="5"/>
      <c r="C9" s="5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x14ac:dyDescent="0.25">
      <c r="A10" s="5">
        <v>1</v>
      </c>
      <c r="B10" s="5" t="s">
        <v>0</v>
      </c>
      <c r="C10" s="5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x14ac:dyDescent="0.25">
      <c r="A11" s="5">
        <v>2</v>
      </c>
      <c r="B11" s="5" t="s">
        <v>1</v>
      </c>
      <c r="C11" s="5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x14ac:dyDescent="0.25">
      <c r="A12" s="5">
        <v>3</v>
      </c>
      <c r="B12" s="5" t="s">
        <v>2</v>
      </c>
      <c r="C12" s="5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x14ac:dyDescent="0.25">
      <c r="A13" s="5"/>
      <c r="B13" s="5"/>
      <c r="C13" s="5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x14ac:dyDescent="0.25">
      <c r="A14" t="s">
        <v>17</v>
      </c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x14ac:dyDescent="0.25">
      <c r="A15" s="19" t="s">
        <v>9</v>
      </c>
      <c r="B15" s="19">
        <v>1</v>
      </c>
      <c r="C15" s="19">
        <v>2</v>
      </c>
      <c r="D15" s="19">
        <v>3</v>
      </c>
      <c r="E15" s="19">
        <v>4</v>
      </c>
      <c r="F15" s="19">
        <v>5</v>
      </c>
      <c r="G15" s="19">
        <v>6</v>
      </c>
      <c r="H15" s="19">
        <v>7</v>
      </c>
      <c r="I15" s="19">
        <v>8</v>
      </c>
      <c r="J15" s="19">
        <v>9</v>
      </c>
      <c r="K15" s="19">
        <v>10</v>
      </c>
      <c r="L15" s="19"/>
      <c r="N15" s="39"/>
      <c r="O15" s="26"/>
      <c r="P15" s="26"/>
      <c r="Q15" s="26"/>
      <c r="R15" s="26"/>
      <c r="S15" s="26"/>
      <c r="T15" s="39"/>
      <c r="U15" s="26"/>
      <c r="V15" s="26"/>
      <c r="W15" s="26"/>
      <c r="X15" s="38"/>
      <c r="Y15" s="39"/>
      <c r="Z15" s="26"/>
      <c r="AA15" s="26"/>
    </row>
    <row r="16" spans="1:27" x14ac:dyDescent="0.25">
      <c r="A16" s="19" t="s">
        <v>11</v>
      </c>
      <c r="B16" s="19">
        <v>7</v>
      </c>
      <c r="C16" s="19">
        <v>4</v>
      </c>
      <c r="D16" s="19">
        <v>4</v>
      </c>
      <c r="E16" s="19">
        <v>4</v>
      </c>
      <c r="F16" s="20">
        <v>5</v>
      </c>
      <c r="G16" s="20">
        <v>1</v>
      </c>
      <c r="H16" s="20">
        <v>1</v>
      </c>
      <c r="I16" s="20" t="s">
        <v>18</v>
      </c>
      <c r="J16" s="20" t="s">
        <v>18</v>
      </c>
      <c r="K16" s="20" t="s">
        <v>18</v>
      </c>
      <c r="L16" s="20"/>
      <c r="N16" s="39"/>
      <c r="O16" s="26"/>
      <c r="P16" s="26"/>
      <c r="Q16" s="26"/>
      <c r="R16" s="26"/>
      <c r="S16" s="26"/>
      <c r="T16" s="39"/>
      <c r="U16" s="26"/>
      <c r="V16" s="26"/>
      <c r="W16" s="26"/>
      <c r="X16" s="38"/>
      <c r="Y16" s="39"/>
      <c r="Z16" s="26"/>
      <c r="AA16" s="26"/>
    </row>
    <row r="17" spans="1:27" x14ac:dyDescent="0.25">
      <c r="B17" s="2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 x14ac:dyDescent="0.25">
      <c r="A18" t="s">
        <v>5</v>
      </c>
      <c r="B18" s="2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 x14ac:dyDescent="0.25">
      <c r="A19" s="21">
        <v>1</v>
      </c>
      <c r="B19" s="23">
        <v>3</v>
      </c>
      <c r="C19" s="23">
        <v>2</v>
      </c>
      <c r="D19" s="23">
        <v>3</v>
      </c>
      <c r="E19" s="23">
        <v>2</v>
      </c>
      <c r="F19" s="23">
        <v>2</v>
      </c>
      <c r="G19" s="23">
        <v>2</v>
      </c>
      <c r="H19" s="23">
        <v>2</v>
      </c>
      <c r="I19" s="23">
        <v>3</v>
      </c>
      <c r="J19" s="23">
        <v>3</v>
      </c>
      <c r="K19" s="23">
        <v>3</v>
      </c>
      <c r="L19" s="23"/>
      <c r="N19" s="21"/>
      <c r="O19" s="26"/>
      <c r="P19" s="26"/>
      <c r="Q19" s="26"/>
      <c r="R19" s="26"/>
      <c r="S19" s="38"/>
      <c r="T19" s="38"/>
      <c r="U19" s="38"/>
      <c r="V19" s="38"/>
      <c r="W19" s="38"/>
      <c r="X19" s="38"/>
      <c r="Y19" s="38"/>
      <c r="Z19" s="26"/>
      <c r="AA19" s="38"/>
    </row>
    <row r="20" spans="1:27" x14ac:dyDescent="0.25">
      <c r="A20" s="21">
        <f>A19+1</f>
        <v>2</v>
      </c>
      <c r="B20" s="23">
        <v>3</v>
      </c>
      <c r="C20" s="23">
        <v>2</v>
      </c>
      <c r="D20" s="23">
        <v>3</v>
      </c>
      <c r="E20" s="23">
        <v>2</v>
      </c>
      <c r="F20" s="23">
        <v>2</v>
      </c>
      <c r="G20" s="23">
        <v>2</v>
      </c>
      <c r="H20" s="23">
        <v>2</v>
      </c>
      <c r="I20" s="23">
        <v>3</v>
      </c>
      <c r="J20" s="23">
        <v>3</v>
      </c>
      <c r="K20" s="23">
        <v>3</v>
      </c>
      <c r="L20" s="23"/>
      <c r="N20" s="21"/>
      <c r="O20" s="26"/>
      <c r="P20" s="26"/>
      <c r="Q20" s="26"/>
      <c r="R20" s="26"/>
      <c r="S20" s="38"/>
      <c r="T20" s="38"/>
      <c r="U20" s="38"/>
      <c r="V20" s="38"/>
      <c r="W20" s="38"/>
      <c r="X20" s="38"/>
      <c r="Y20" s="38"/>
      <c r="Z20" s="26"/>
      <c r="AA20" s="38"/>
    </row>
    <row r="21" spans="1:27" x14ac:dyDescent="0.25">
      <c r="A21" s="21">
        <f t="shared" ref="A21:A80" si="0">A20+1</f>
        <v>3</v>
      </c>
      <c r="B21" s="23">
        <v>3</v>
      </c>
      <c r="C21" s="23">
        <v>2</v>
      </c>
      <c r="D21" s="23">
        <v>3</v>
      </c>
      <c r="E21" s="23">
        <v>2</v>
      </c>
      <c r="F21" s="23">
        <v>2</v>
      </c>
      <c r="G21" s="23">
        <v>2</v>
      </c>
      <c r="H21" s="23">
        <v>2</v>
      </c>
      <c r="I21" s="23">
        <v>3</v>
      </c>
      <c r="J21" s="23">
        <v>3</v>
      </c>
      <c r="K21" s="23">
        <v>3</v>
      </c>
      <c r="L21" s="23"/>
      <c r="N21" s="21"/>
      <c r="O21" s="26"/>
      <c r="P21" s="26"/>
      <c r="Q21" s="26"/>
      <c r="R21" s="26"/>
      <c r="S21" s="38"/>
      <c r="T21" s="38"/>
      <c r="U21" s="38"/>
      <c r="V21" s="38"/>
      <c r="W21" s="38"/>
      <c r="X21" s="38"/>
      <c r="Y21" s="38"/>
      <c r="Z21" s="26"/>
      <c r="AA21" s="38"/>
    </row>
    <row r="22" spans="1:27" x14ac:dyDescent="0.25">
      <c r="A22" s="21">
        <f t="shared" si="0"/>
        <v>4</v>
      </c>
      <c r="B22" s="23">
        <v>3</v>
      </c>
      <c r="C22" s="23">
        <v>2</v>
      </c>
      <c r="D22" s="23">
        <v>3</v>
      </c>
      <c r="E22" s="23">
        <v>2</v>
      </c>
      <c r="F22" s="23">
        <v>2</v>
      </c>
      <c r="G22" s="23">
        <v>2</v>
      </c>
      <c r="H22" s="23">
        <v>2</v>
      </c>
      <c r="I22" s="23">
        <v>3</v>
      </c>
      <c r="J22" s="23">
        <v>3</v>
      </c>
      <c r="K22" s="23">
        <v>3</v>
      </c>
      <c r="L22" s="23"/>
      <c r="N22" s="21"/>
      <c r="O22" s="26"/>
      <c r="P22" s="26"/>
      <c r="Q22" s="26"/>
      <c r="R22" s="26"/>
      <c r="S22" s="38"/>
      <c r="T22" s="38"/>
      <c r="U22" s="38"/>
      <c r="V22" s="38"/>
      <c r="W22" s="38"/>
      <c r="X22" s="38"/>
      <c r="Y22" s="38"/>
      <c r="Z22" s="26"/>
      <c r="AA22" s="38"/>
    </row>
    <row r="23" spans="1:27" x14ac:dyDescent="0.25">
      <c r="A23" s="22">
        <f t="shared" si="0"/>
        <v>5</v>
      </c>
      <c r="B23" s="24">
        <v>3</v>
      </c>
      <c r="C23" s="24">
        <v>2</v>
      </c>
      <c r="D23" s="24">
        <v>3</v>
      </c>
      <c r="E23" s="24">
        <v>2</v>
      </c>
      <c r="F23" s="24">
        <v>2</v>
      </c>
      <c r="G23" s="24">
        <v>2</v>
      </c>
      <c r="H23" s="24">
        <v>2</v>
      </c>
      <c r="I23" s="24">
        <v>3</v>
      </c>
      <c r="J23" s="24">
        <v>3</v>
      </c>
      <c r="K23" s="24">
        <v>3</v>
      </c>
      <c r="L23" s="24"/>
      <c r="N23" s="21"/>
      <c r="O23" s="26"/>
      <c r="P23" s="26"/>
      <c r="Q23" s="26"/>
      <c r="R23" s="26"/>
      <c r="S23" s="38"/>
      <c r="T23" s="38"/>
      <c r="U23" s="38"/>
      <c r="V23" s="38"/>
      <c r="W23" s="38"/>
      <c r="X23" s="38"/>
      <c r="Y23" s="38"/>
      <c r="Z23" s="26"/>
      <c r="AA23" s="38"/>
    </row>
    <row r="24" spans="1:27" x14ac:dyDescent="0.25">
      <c r="A24" s="21">
        <f t="shared" si="0"/>
        <v>6</v>
      </c>
      <c r="B24" s="25"/>
      <c r="C24" s="25"/>
      <c r="D24" s="25"/>
      <c r="E24" s="23"/>
      <c r="F24" s="23"/>
      <c r="G24" s="23"/>
      <c r="H24" s="23"/>
      <c r="I24" s="23"/>
      <c r="J24" s="23"/>
      <c r="K24" s="23"/>
      <c r="L24" s="23"/>
      <c r="N24" s="21"/>
      <c r="O24" s="26"/>
      <c r="P24" s="26"/>
      <c r="Q24" s="26"/>
      <c r="R24" s="26"/>
      <c r="S24" s="38"/>
      <c r="T24" s="38"/>
      <c r="U24" s="38"/>
      <c r="V24" s="38"/>
      <c r="W24" s="38"/>
      <c r="X24" s="38"/>
      <c r="Y24" s="38"/>
      <c r="Z24" s="26"/>
      <c r="AA24" s="38"/>
    </row>
    <row r="25" spans="1:27" x14ac:dyDescent="0.25">
      <c r="A25" s="21">
        <f t="shared" si="0"/>
        <v>7</v>
      </c>
      <c r="B25" s="25"/>
      <c r="C25" s="25"/>
      <c r="D25" s="25"/>
      <c r="E25" s="26"/>
      <c r="F25" s="26"/>
      <c r="G25" s="26"/>
      <c r="H25" s="26"/>
      <c r="I25" s="26"/>
      <c r="J25" s="26"/>
      <c r="K25" s="26"/>
      <c r="L25" s="26"/>
      <c r="N25" s="21"/>
      <c r="O25" s="26"/>
      <c r="P25" s="26"/>
      <c r="Q25" s="26"/>
      <c r="R25" s="26"/>
      <c r="S25" s="38"/>
      <c r="T25" s="38"/>
      <c r="U25" s="38"/>
      <c r="V25" s="38"/>
      <c r="W25" s="38"/>
      <c r="X25" s="38"/>
      <c r="Y25" s="38"/>
      <c r="Z25" s="26"/>
      <c r="AA25" s="38"/>
    </row>
    <row r="26" spans="1:27" x14ac:dyDescent="0.25">
      <c r="A26" s="21">
        <f t="shared" si="0"/>
        <v>8</v>
      </c>
      <c r="B26" s="25"/>
      <c r="C26" s="25"/>
      <c r="D26" s="25"/>
      <c r="E26" s="23"/>
      <c r="F26" s="23"/>
      <c r="G26" s="23"/>
      <c r="H26" s="23"/>
      <c r="I26" s="23"/>
      <c r="J26" s="23"/>
      <c r="K26" s="23"/>
      <c r="L26" s="23"/>
      <c r="N26" s="21"/>
      <c r="O26" s="26"/>
      <c r="P26" s="26"/>
      <c r="Q26" s="26"/>
      <c r="R26" s="26"/>
      <c r="S26" s="38"/>
      <c r="T26" s="38"/>
      <c r="U26" s="38"/>
      <c r="V26" s="38"/>
      <c r="W26" s="38"/>
      <c r="X26" s="38"/>
      <c r="Y26" s="38"/>
      <c r="Z26" s="26"/>
      <c r="AA26" s="38"/>
    </row>
    <row r="27" spans="1:27" x14ac:dyDescent="0.25">
      <c r="A27" s="21">
        <f t="shared" si="0"/>
        <v>9</v>
      </c>
      <c r="B27" s="25"/>
      <c r="C27" s="25"/>
      <c r="D27" s="25"/>
      <c r="E27" s="23"/>
      <c r="F27" s="23"/>
      <c r="G27" s="23"/>
      <c r="H27" s="23"/>
      <c r="I27" s="23"/>
      <c r="J27" s="23"/>
      <c r="K27" s="23"/>
      <c r="L27" s="23"/>
      <c r="N27" s="21"/>
      <c r="O27" s="26"/>
      <c r="P27" s="26"/>
      <c r="Q27" s="26"/>
      <c r="R27" s="26"/>
      <c r="S27" s="38"/>
      <c r="T27" s="38"/>
      <c r="U27" s="38"/>
      <c r="V27" s="38"/>
      <c r="W27" s="38"/>
      <c r="X27" s="38"/>
      <c r="Y27" s="38"/>
      <c r="Z27" s="26"/>
      <c r="AA27" s="38"/>
    </row>
    <row r="28" spans="1:27" x14ac:dyDescent="0.25">
      <c r="A28" s="21">
        <f t="shared" si="0"/>
        <v>10</v>
      </c>
      <c r="B28" s="25"/>
      <c r="C28" s="25"/>
      <c r="D28" s="25"/>
      <c r="E28" s="23"/>
      <c r="F28" s="23"/>
      <c r="G28" s="23"/>
      <c r="H28" s="23"/>
      <c r="I28" s="23"/>
      <c r="J28" s="23"/>
      <c r="K28" s="23"/>
      <c r="L28" s="23"/>
      <c r="N28" s="21"/>
      <c r="O28" s="26"/>
      <c r="P28" s="26"/>
      <c r="Q28" s="26"/>
      <c r="R28" s="26"/>
      <c r="S28" s="38"/>
      <c r="T28" s="38"/>
      <c r="U28" s="38"/>
      <c r="V28" s="38"/>
      <c r="W28" s="38"/>
      <c r="X28" s="38"/>
      <c r="Y28" s="38"/>
      <c r="Z28" s="26"/>
      <c r="AA28" s="38"/>
    </row>
    <row r="29" spans="1:27" x14ac:dyDescent="0.25">
      <c r="A29" s="22">
        <f t="shared" si="0"/>
        <v>11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N29" s="21"/>
      <c r="O29" s="26"/>
      <c r="P29" s="26"/>
      <c r="Q29" s="26"/>
      <c r="R29" s="26"/>
      <c r="S29" s="38"/>
      <c r="T29" s="38"/>
      <c r="U29" s="38"/>
      <c r="V29" s="38"/>
      <c r="W29" s="38"/>
      <c r="X29" s="38"/>
      <c r="Y29" s="38"/>
      <c r="Z29" s="26"/>
      <c r="AA29" s="38"/>
    </row>
    <row r="30" spans="1:27" x14ac:dyDescent="0.25">
      <c r="A30" s="21">
        <f t="shared" si="0"/>
        <v>12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6"/>
      <c r="N30" s="21"/>
      <c r="O30" s="26"/>
      <c r="P30" s="26"/>
      <c r="Q30" s="26"/>
      <c r="R30" s="26"/>
      <c r="S30" s="38"/>
      <c r="T30" s="38"/>
      <c r="U30" s="38"/>
      <c r="V30" s="38"/>
      <c r="W30" s="38"/>
      <c r="X30" s="38"/>
      <c r="Y30" s="38"/>
      <c r="Z30" s="26"/>
      <c r="AA30" s="38"/>
    </row>
    <row r="31" spans="1:27" x14ac:dyDescent="0.25">
      <c r="A31" s="21">
        <f t="shared" si="0"/>
        <v>13</v>
      </c>
      <c r="B31" s="25"/>
      <c r="C31" s="25"/>
      <c r="D31" s="25"/>
      <c r="E31" s="26"/>
      <c r="F31" s="26"/>
      <c r="G31" s="26"/>
      <c r="H31" s="26"/>
      <c r="I31" s="26"/>
      <c r="J31" s="26"/>
      <c r="K31" s="26"/>
      <c r="L31" s="26"/>
      <c r="N31" s="21"/>
      <c r="O31" s="26"/>
      <c r="P31" s="26"/>
      <c r="Q31" s="26"/>
      <c r="R31" s="26"/>
      <c r="S31" s="38"/>
      <c r="T31" s="38"/>
      <c r="U31" s="38"/>
      <c r="V31" s="38"/>
      <c r="W31" s="38"/>
      <c r="X31" s="38"/>
      <c r="Y31" s="38"/>
      <c r="Z31" s="26"/>
      <c r="AA31" s="38"/>
    </row>
    <row r="32" spans="1:27" x14ac:dyDescent="0.25">
      <c r="A32" s="21">
        <f t="shared" si="0"/>
        <v>14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N32" s="21"/>
      <c r="O32" s="26"/>
      <c r="P32" s="26"/>
      <c r="Q32" s="26"/>
      <c r="R32" s="26"/>
      <c r="S32" s="38"/>
      <c r="T32" s="38"/>
      <c r="U32" s="38"/>
      <c r="V32" s="38"/>
      <c r="W32" s="38"/>
      <c r="X32" s="38"/>
      <c r="Y32" s="38"/>
      <c r="Z32" s="26"/>
      <c r="AA32" s="38"/>
    </row>
    <row r="33" spans="1:27" x14ac:dyDescent="0.25">
      <c r="A33" s="21">
        <f t="shared" si="0"/>
        <v>15</v>
      </c>
      <c r="B33" s="25"/>
      <c r="C33" s="25"/>
      <c r="D33" s="25"/>
      <c r="E33" s="23"/>
      <c r="F33" s="23"/>
      <c r="G33" s="23"/>
      <c r="H33" s="23"/>
      <c r="I33" s="23"/>
      <c r="J33" s="23"/>
      <c r="K33" s="23"/>
      <c r="L33" s="23"/>
      <c r="N33" s="21"/>
      <c r="O33" s="26"/>
      <c r="P33" s="26"/>
      <c r="Q33" s="26"/>
      <c r="R33" s="26"/>
      <c r="S33" s="38"/>
      <c r="T33" s="38"/>
      <c r="U33" s="38"/>
      <c r="V33" s="38"/>
      <c r="W33" s="38"/>
      <c r="X33" s="38"/>
      <c r="Y33" s="38"/>
      <c r="Z33" s="26"/>
      <c r="AA33" s="38"/>
    </row>
    <row r="34" spans="1:27" x14ac:dyDescent="0.25">
      <c r="A34" s="21">
        <f t="shared" si="0"/>
        <v>16</v>
      </c>
      <c r="B34" s="25"/>
      <c r="C34" s="25"/>
      <c r="D34" s="25"/>
      <c r="E34" s="23"/>
      <c r="F34" s="23"/>
      <c r="G34" s="23"/>
      <c r="H34" s="23"/>
      <c r="I34" s="23"/>
      <c r="J34" s="23"/>
      <c r="K34" s="23"/>
      <c r="L34" s="23"/>
      <c r="N34" s="21"/>
      <c r="O34" s="26"/>
      <c r="P34" s="26"/>
      <c r="Q34" s="26"/>
      <c r="R34" s="26"/>
      <c r="S34" s="38"/>
      <c r="T34" s="38"/>
      <c r="U34" s="38"/>
      <c r="V34" s="38"/>
      <c r="W34" s="38"/>
      <c r="X34" s="38"/>
      <c r="Y34" s="38"/>
      <c r="Z34" s="26"/>
      <c r="AA34" s="38"/>
    </row>
    <row r="35" spans="1:27" x14ac:dyDescent="0.25">
      <c r="A35" s="22">
        <f t="shared" si="0"/>
        <v>17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N35" s="21"/>
      <c r="O35" s="26"/>
      <c r="P35" s="26"/>
      <c r="Q35" s="26"/>
      <c r="R35" s="26"/>
      <c r="S35" s="38"/>
      <c r="T35" s="38"/>
      <c r="U35" s="38"/>
      <c r="V35" s="38"/>
      <c r="W35" s="38"/>
      <c r="X35" s="38"/>
      <c r="Y35" s="38"/>
      <c r="Z35" s="26"/>
      <c r="AA35" s="38"/>
    </row>
    <row r="36" spans="1:27" x14ac:dyDescent="0.25">
      <c r="A36" s="21">
        <f t="shared" si="0"/>
        <v>18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6"/>
      <c r="N36" s="21"/>
      <c r="O36" s="26"/>
      <c r="P36" s="26"/>
      <c r="Q36" s="26"/>
      <c r="R36" s="26"/>
      <c r="S36" s="38"/>
      <c r="T36" s="38"/>
      <c r="U36" s="38"/>
      <c r="V36" s="38"/>
      <c r="W36" s="38"/>
      <c r="X36" s="38"/>
      <c r="Y36" s="38"/>
      <c r="Z36" s="26"/>
      <c r="AA36" s="38"/>
    </row>
    <row r="37" spans="1:27" x14ac:dyDescent="0.25">
      <c r="A37" s="21">
        <f t="shared" si="0"/>
        <v>19</v>
      </c>
      <c r="B37" s="25"/>
      <c r="C37" s="25"/>
      <c r="D37" s="25"/>
      <c r="E37" s="26"/>
      <c r="F37" s="26"/>
      <c r="G37" s="26"/>
      <c r="H37" s="26"/>
      <c r="I37" s="26"/>
      <c r="J37" s="26"/>
      <c r="K37" s="26"/>
      <c r="L37" s="26"/>
      <c r="N37" s="21"/>
      <c r="O37" s="26"/>
      <c r="P37" s="26"/>
      <c r="Q37" s="26"/>
      <c r="R37" s="26"/>
      <c r="S37" s="38"/>
      <c r="T37" s="38"/>
      <c r="U37" s="38"/>
      <c r="V37" s="38"/>
      <c r="W37" s="38"/>
      <c r="X37" s="38"/>
      <c r="Y37" s="38"/>
      <c r="Z37" s="26"/>
      <c r="AA37" s="38"/>
    </row>
    <row r="38" spans="1:27" x14ac:dyDescent="0.25">
      <c r="A38" s="21">
        <f t="shared" si="0"/>
        <v>20</v>
      </c>
      <c r="B38" s="25"/>
      <c r="C38" s="25"/>
      <c r="D38" s="25"/>
      <c r="E38" s="23"/>
      <c r="F38" s="23"/>
      <c r="G38" s="23"/>
      <c r="H38" s="23"/>
      <c r="I38" s="23"/>
      <c r="J38" s="23"/>
      <c r="K38" s="23"/>
      <c r="L38" s="23"/>
      <c r="N38" s="21"/>
      <c r="O38" s="26"/>
      <c r="P38" s="26"/>
      <c r="Q38" s="26"/>
      <c r="R38" s="26"/>
      <c r="S38" s="38"/>
      <c r="T38" s="38"/>
      <c r="U38" s="38"/>
      <c r="V38" s="38"/>
      <c r="W38" s="38"/>
      <c r="X38" s="38"/>
      <c r="Y38" s="38"/>
      <c r="Z38" s="26"/>
      <c r="AA38" s="38"/>
    </row>
    <row r="39" spans="1:27" x14ac:dyDescent="0.25">
      <c r="A39" s="22">
        <f t="shared" si="0"/>
        <v>21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N39" s="21"/>
      <c r="O39" s="26"/>
      <c r="P39" s="26"/>
      <c r="Q39" s="26"/>
      <c r="R39" s="26"/>
      <c r="S39" s="38"/>
      <c r="T39" s="38"/>
      <c r="U39" s="38"/>
      <c r="V39" s="38"/>
      <c r="W39" s="38"/>
      <c r="X39" s="38"/>
      <c r="Y39" s="38"/>
      <c r="Z39" s="26"/>
      <c r="AA39" s="38"/>
    </row>
    <row r="40" spans="1:27" x14ac:dyDescent="0.25">
      <c r="A40" s="21">
        <f t="shared" si="0"/>
        <v>22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6"/>
      <c r="N40" s="21"/>
      <c r="O40" s="26"/>
      <c r="P40" s="26"/>
      <c r="Q40" s="26"/>
      <c r="R40" s="26"/>
      <c r="S40" s="38"/>
      <c r="T40" s="38"/>
      <c r="U40" s="38"/>
      <c r="V40" s="38"/>
      <c r="W40" s="38"/>
      <c r="X40" s="38"/>
      <c r="Y40" s="38"/>
      <c r="Z40" s="26"/>
      <c r="AA40" s="38"/>
    </row>
    <row r="41" spans="1:27" x14ac:dyDescent="0.25">
      <c r="A41" s="21">
        <f t="shared" si="0"/>
        <v>23</v>
      </c>
      <c r="B41" s="23"/>
      <c r="C41" s="23"/>
      <c r="D41" s="23"/>
      <c r="E41" s="23"/>
      <c r="F41" s="26"/>
      <c r="G41" s="26"/>
      <c r="H41" s="26"/>
      <c r="I41" s="26"/>
      <c r="J41" s="26"/>
      <c r="K41" s="26"/>
      <c r="L41" s="26"/>
      <c r="N41" s="21"/>
      <c r="O41" s="26"/>
      <c r="P41" s="26"/>
      <c r="Q41" s="26"/>
      <c r="R41" s="26"/>
      <c r="S41" s="38"/>
      <c r="T41" s="38"/>
      <c r="U41" s="38"/>
      <c r="V41" s="38"/>
      <c r="W41" s="38"/>
      <c r="X41" s="38"/>
      <c r="Y41" s="38"/>
      <c r="Z41" s="26"/>
      <c r="AA41" s="38"/>
    </row>
    <row r="42" spans="1:27" x14ac:dyDescent="0.25">
      <c r="A42" s="21">
        <f t="shared" si="0"/>
        <v>24</v>
      </c>
      <c r="B42" s="23"/>
      <c r="C42" s="23"/>
      <c r="D42" s="23"/>
      <c r="E42" s="23"/>
      <c r="F42" s="26"/>
      <c r="G42" s="26"/>
      <c r="H42" s="26"/>
      <c r="I42" s="26"/>
      <c r="J42" s="26"/>
      <c r="K42" s="26"/>
      <c r="L42" s="26"/>
      <c r="N42" s="21"/>
      <c r="O42" s="26"/>
      <c r="P42" s="26"/>
      <c r="Q42" s="26"/>
      <c r="R42" s="26"/>
      <c r="S42" s="38"/>
      <c r="T42" s="38"/>
      <c r="U42" s="38"/>
      <c r="V42" s="38"/>
      <c r="W42" s="38"/>
      <c r="X42" s="38"/>
      <c r="Y42" s="38"/>
      <c r="Z42" s="26"/>
      <c r="AA42" s="38"/>
    </row>
    <row r="43" spans="1:27" x14ac:dyDescent="0.25">
      <c r="A43" s="21">
        <f t="shared" si="0"/>
        <v>25</v>
      </c>
      <c r="B43" s="25"/>
      <c r="C43" s="25"/>
      <c r="D43" s="25"/>
      <c r="E43" s="25"/>
      <c r="F43" s="26"/>
      <c r="G43" s="26"/>
      <c r="H43" s="26"/>
      <c r="I43" s="26"/>
      <c r="J43" s="26"/>
      <c r="K43" s="26"/>
      <c r="L43" s="26"/>
      <c r="N43" s="21"/>
      <c r="O43" s="26"/>
      <c r="P43" s="26"/>
      <c r="Q43" s="26"/>
      <c r="R43" s="26"/>
      <c r="S43" s="38"/>
      <c r="T43" s="38"/>
      <c r="U43" s="38"/>
      <c r="V43" s="38"/>
      <c r="W43" s="38"/>
      <c r="X43" s="38"/>
      <c r="Y43" s="38"/>
      <c r="Z43" s="26"/>
      <c r="AA43" s="38"/>
    </row>
    <row r="44" spans="1:27" x14ac:dyDescent="0.25">
      <c r="A44" s="22">
        <f t="shared" si="0"/>
        <v>26</v>
      </c>
      <c r="B44" s="24"/>
      <c r="C44" s="27"/>
      <c r="D44" s="27"/>
      <c r="E44" s="27"/>
      <c r="F44" s="27"/>
      <c r="G44" s="27"/>
      <c r="H44" s="27"/>
      <c r="I44" s="27"/>
      <c r="J44" s="27"/>
      <c r="K44" s="27"/>
      <c r="L44" s="27"/>
      <c r="N44" s="21"/>
      <c r="O44" s="26"/>
      <c r="P44" s="26"/>
      <c r="Q44" s="26"/>
      <c r="R44" s="26"/>
      <c r="S44" s="38"/>
      <c r="T44" s="38"/>
      <c r="U44" s="38"/>
      <c r="V44" s="38"/>
      <c r="W44" s="38"/>
      <c r="X44" s="38"/>
      <c r="Y44" s="38"/>
      <c r="Z44" s="26"/>
      <c r="AA44" s="38"/>
    </row>
    <row r="45" spans="1:27" x14ac:dyDescent="0.25">
      <c r="A45" s="21">
        <f t="shared" si="0"/>
        <v>27</v>
      </c>
      <c r="B45" s="23"/>
      <c r="C45" s="23"/>
      <c r="D45" s="23"/>
      <c r="E45" s="23"/>
      <c r="F45" s="26"/>
      <c r="G45" s="26"/>
      <c r="H45" s="26"/>
      <c r="I45" s="26"/>
      <c r="J45" s="26"/>
      <c r="K45" s="26"/>
      <c r="L45" s="26"/>
      <c r="N45" s="21"/>
      <c r="O45" s="26"/>
      <c r="P45" s="26"/>
      <c r="Q45" s="26"/>
      <c r="R45" s="26"/>
      <c r="S45" s="38"/>
      <c r="T45" s="38"/>
      <c r="U45" s="38"/>
      <c r="V45" s="38"/>
      <c r="W45" s="38"/>
      <c r="X45" s="38"/>
      <c r="Y45" s="38"/>
      <c r="Z45" s="26"/>
      <c r="AA45" s="38"/>
    </row>
    <row r="46" spans="1:27" x14ac:dyDescent="0.25">
      <c r="A46" s="21">
        <f t="shared" si="0"/>
        <v>28</v>
      </c>
      <c r="B46" s="23"/>
      <c r="C46" s="23"/>
      <c r="D46" s="23"/>
      <c r="E46" s="23"/>
      <c r="F46" s="26"/>
      <c r="G46" s="26"/>
      <c r="H46" s="26"/>
      <c r="I46" s="26"/>
      <c r="J46" s="26"/>
      <c r="K46" s="26"/>
      <c r="L46" s="26"/>
      <c r="N46" s="21"/>
      <c r="O46" s="26"/>
      <c r="P46" s="26"/>
      <c r="Q46" s="26"/>
      <c r="R46" s="26"/>
      <c r="S46" s="38"/>
      <c r="T46" s="38"/>
      <c r="U46" s="38"/>
      <c r="V46" s="38"/>
      <c r="W46" s="38"/>
      <c r="X46" s="38"/>
      <c r="Y46" s="38"/>
      <c r="Z46" s="26"/>
      <c r="AA46" s="38"/>
    </row>
    <row r="47" spans="1:27" x14ac:dyDescent="0.25">
      <c r="A47" s="21">
        <f t="shared" si="0"/>
        <v>29</v>
      </c>
      <c r="B47" s="25"/>
      <c r="C47" s="25"/>
      <c r="D47" s="25"/>
      <c r="E47" s="25"/>
      <c r="F47" s="26"/>
      <c r="G47" s="26"/>
      <c r="H47" s="26"/>
      <c r="I47" s="26"/>
      <c r="J47" s="26"/>
      <c r="K47" s="26"/>
      <c r="L47" s="26"/>
      <c r="N47" s="21"/>
      <c r="O47" s="26"/>
      <c r="P47" s="26"/>
      <c r="Q47" s="26"/>
      <c r="R47" s="26"/>
      <c r="S47" s="38"/>
      <c r="T47" s="38"/>
      <c r="U47" s="38"/>
      <c r="V47" s="38"/>
      <c r="W47" s="38"/>
      <c r="X47" s="38"/>
      <c r="Y47" s="38"/>
      <c r="Z47" s="26"/>
      <c r="AA47" s="38"/>
    </row>
    <row r="48" spans="1:27" x14ac:dyDescent="0.25">
      <c r="A48" s="21">
        <f t="shared" si="0"/>
        <v>30</v>
      </c>
      <c r="B48" s="23"/>
      <c r="C48" s="23"/>
      <c r="D48" s="23"/>
      <c r="E48" s="23"/>
      <c r="F48" s="26"/>
      <c r="G48" s="26"/>
      <c r="H48" s="26"/>
      <c r="I48" s="26"/>
      <c r="J48" s="26"/>
      <c r="K48" s="26"/>
      <c r="L48" s="26"/>
      <c r="N48" s="21"/>
      <c r="O48" s="26"/>
      <c r="P48" s="26"/>
      <c r="Q48" s="26"/>
      <c r="R48" s="26"/>
      <c r="S48" s="38"/>
      <c r="T48" s="38"/>
      <c r="U48" s="38"/>
      <c r="V48" s="38"/>
      <c r="W48" s="38"/>
      <c r="X48" s="38"/>
      <c r="Y48" s="38"/>
      <c r="Z48" s="26"/>
      <c r="AA48" s="38"/>
    </row>
    <row r="49" spans="1:27" x14ac:dyDescent="0.25">
      <c r="A49" s="22">
        <f t="shared" si="0"/>
        <v>31</v>
      </c>
      <c r="B49" s="24"/>
      <c r="C49" s="24"/>
      <c r="D49" s="24"/>
      <c r="E49" s="24"/>
      <c r="F49" s="27"/>
      <c r="G49" s="27"/>
      <c r="H49" s="27"/>
      <c r="I49" s="27"/>
      <c r="J49" s="27"/>
      <c r="K49" s="27"/>
      <c r="L49" s="27"/>
      <c r="N49" s="21"/>
      <c r="O49" s="26"/>
      <c r="P49" s="26"/>
      <c r="Q49" s="26"/>
      <c r="R49" s="26"/>
      <c r="S49" s="38"/>
      <c r="T49" s="38"/>
      <c r="U49" s="38"/>
      <c r="V49" s="38"/>
      <c r="W49" s="38"/>
      <c r="X49" s="38"/>
      <c r="Y49" s="38"/>
      <c r="Z49" s="26"/>
      <c r="AA49" s="38"/>
    </row>
    <row r="50" spans="1:27" x14ac:dyDescent="0.25">
      <c r="A50" s="21">
        <f t="shared" si="0"/>
        <v>32</v>
      </c>
      <c r="B50" s="23"/>
      <c r="C50" s="26"/>
      <c r="D50" s="26"/>
      <c r="E50" s="26"/>
      <c r="F50" s="26"/>
      <c r="G50" s="26"/>
      <c r="H50" s="26"/>
      <c r="I50" s="26"/>
      <c r="J50" s="26"/>
      <c r="K50" s="26"/>
      <c r="L50" s="26"/>
      <c r="N50" s="21"/>
      <c r="O50" s="26"/>
      <c r="P50" s="26"/>
      <c r="Q50" s="26"/>
      <c r="R50" s="26"/>
      <c r="S50" s="38"/>
      <c r="T50" s="38"/>
      <c r="U50" s="38"/>
      <c r="V50" s="38"/>
      <c r="W50" s="38"/>
      <c r="X50" s="38"/>
      <c r="Y50" s="38"/>
      <c r="Z50" s="26"/>
      <c r="AA50" s="38"/>
    </row>
    <row r="51" spans="1:27" x14ac:dyDescent="0.25">
      <c r="A51" s="21">
        <f t="shared" si="0"/>
        <v>33</v>
      </c>
      <c r="B51" s="23"/>
      <c r="C51" s="23"/>
      <c r="D51" s="23"/>
      <c r="E51" s="23"/>
      <c r="F51" s="26"/>
      <c r="G51" s="26"/>
      <c r="H51" s="26"/>
      <c r="I51" s="26"/>
      <c r="J51" s="26"/>
      <c r="K51" s="26"/>
      <c r="L51" s="26"/>
      <c r="N51" s="21"/>
      <c r="O51" s="26"/>
      <c r="P51" s="26"/>
      <c r="Q51" s="26"/>
      <c r="R51" s="26"/>
      <c r="S51" s="38"/>
      <c r="T51" s="38"/>
      <c r="U51" s="38"/>
      <c r="V51" s="38"/>
      <c r="W51" s="38"/>
      <c r="X51" s="38"/>
      <c r="Y51" s="38"/>
      <c r="Z51" s="26"/>
      <c r="AA51" s="38"/>
    </row>
    <row r="52" spans="1:27" x14ac:dyDescent="0.25">
      <c r="A52" s="21">
        <f t="shared" si="0"/>
        <v>34</v>
      </c>
      <c r="B52" s="23"/>
      <c r="C52" s="23"/>
      <c r="D52" s="23"/>
      <c r="E52" s="23"/>
      <c r="F52" s="26"/>
      <c r="G52" s="26"/>
      <c r="H52" s="26"/>
      <c r="I52" s="26"/>
      <c r="J52" s="26"/>
      <c r="K52" s="26"/>
      <c r="L52" s="26"/>
      <c r="N52" s="21"/>
      <c r="O52" s="26"/>
      <c r="P52" s="26"/>
      <c r="Q52" s="26"/>
      <c r="R52" s="26"/>
      <c r="S52" s="38"/>
      <c r="T52" s="38"/>
      <c r="U52" s="38"/>
      <c r="V52" s="38"/>
      <c r="W52" s="38"/>
      <c r="X52" s="38"/>
      <c r="Y52" s="38"/>
      <c r="Z52" s="26"/>
      <c r="AA52" s="38"/>
    </row>
    <row r="53" spans="1:27" x14ac:dyDescent="0.25">
      <c r="A53" s="21">
        <f t="shared" si="0"/>
        <v>35</v>
      </c>
      <c r="B53" s="25"/>
      <c r="C53" s="25"/>
      <c r="D53" s="25"/>
      <c r="E53" s="25"/>
      <c r="F53" s="26"/>
      <c r="G53" s="26"/>
      <c r="H53" s="26"/>
      <c r="I53" s="26"/>
      <c r="J53" s="26"/>
      <c r="K53" s="26"/>
      <c r="L53" s="26"/>
      <c r="N53" s="21"/>
      <c r="O53" s="26"/>
      <c r="P53" s="26"/>
      <c r="Q53" s="26"/>
      <c r="R53" s="26"/>
      <c r="S53" s="38"/>
      <c r="T53" s="38"/>
      <c r="U53" s="38"/>
      <c r="V53" s="38"/>
      <c r="W53" s="38"/>
      <c r="X53" s="38"/>
      <c r="Y53" s="38"/>
      <c r="Z53" s="26"/>
      <c r="AA53" s="38"/>
    </row>
    <row r="54" spans="1:27" x14ac:dyDescent="0.25">
      <c r="A54" s="22">
        <f t="shared" si="0"/>
        <v>36</v>
      </c>
      <c r="B54" s="24"/>
      <c r="C54" s="24"/>
      <c r="D54" s="24"/>
      <c r="E54" s="24"/>
      <c r="F54" s="27"/>
      <c r="G54" s="27"/>
      <c r="H54" s="27"/>
      <c r="I54" s="27"/>
      <c r="J54" s="27"/>
      <c r="K54" s="27"/>
      <c r="L54" s="27"/>
      <c r="N54" s="21"/>
      <c r="O54" s="26"/>
      <c r="P54" s="26"/>
      <c r="Q54" s="26"/>
      <c r="R54" s="26"/>
      <c r="S54" s="38"/>
      <c r="T54" s="38"/>
      <c r="U54" s="38"/>
      <c r="V54" s="38"/>
      <c r="W54" s="38"/>
      <c r="X54" s="38"/>
      <c r="Y54" s="38"/>
      <c r="Z54" s="26"/>
      <c r="AA54" s="38"/>
    </row>
    <row r="55" spans="1:27" x14ac:dyDescent="0.25">
      <c r="A55" s="21">
        <f t="shared" si="0"/>
        <v>37</v>
      </c>
      <c r="B55" s="25"/>
      <c r="C55" s="25"/>
      <c r="D55" s="25"/>
      <c r="E55" s="25"/>
      <c r="F55" s="26"/>
      <c r="G55" s="26"/>
      <c r="H55" s="26"/>
      <c r="I55" s="26"/>
      <c r="J55" s="26"/>
      <c r="K55" s="26"/>
      <c r="L55" s="26"/>
      <c r="N55" s="21"/>
      <c r="O55" s="26"/>
      <c r="P55" s="26"/>
      <c r="Q55" s="26"/>
      <c r="R55" s="26"/>
      <c r="S55" s="26"/>
      <c r="T55" s="38"/>
      <c r="U55" s="38"/>
      <c r="V55" s="38"/>
      <c r="W55" s="38"/>
      <c r="X55" s="38"/>
      <c r="Y55" s="38"/>
      <c r="Z55" s="26"/>
      <c r="AA55" s="38"/>
    </row>
    <row r="56" spans="1:27" x14ac:dyDescent="0.25">
      <c r="A56" s="21">
        <f t="shared" si="0"/>
        <v>38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N56" s="21"/>
      <c r="O56" s="26"/>
      <c r="P56" s="26"/>
      <c r="Q56" s="26"/>
      <c r="R56" s="26"/>
      <c r="S56" s="38"/>
      <c r="T56" s="38"/>
      <c r="U56" s="38"/>
      <c r="V56" s="38"/>
      <c r="W56" s="38"/>
      <c r="X56" s="38"/>
      <c r="Y56" s="38"/>
      <c r="Z56" s="26"/>
      <c r="AA56" s="38"/>
    </row>
    <row r="57" spans="1:27" x14ac:dyDescent="0.25">
      <c r="A57" s="21">
        <f t="shared" si="0"/>
        <v>39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N57" s="21"/>
      <c r="O57" s="26"/>
      <c r="P57" s="26"/>
      <c r="Q57" s="26"/>
      <c r="R57" s="26"/>
      <c r="S57" s="38"/>
      <c r="T57" s="38"/>
      <c r="U57" s="38"/>
      <c r="V57" s="38"/>
      <c r="W57" s="38"/>
      <c r="X57" s="38"/>
      <c r="Y57" s="38"/>
      <c r="Z57" s="26"/>
      <c r="AA57" s="38"/>
    </row>
    <row r="58" spans="1:27" x14ac:dyDescent="0.25">
      <c r="A58" s="21">
        <f t="shared" si="0"/>
        <v>40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N58" s="21"/>
      <c r="O58" s="26"/>
      <c r="P58" s="26"/>
      <c r="Q58" s="26"/>
      <c r="R58" s="26"/>
      <c r="S58" s="38"/>
      <c r="T58" s="38"/>
      <c r="U58" s="38"/>
      <c r="V58" s="38"/>
      <c r="W58" s="38"/>
      <c r="X58" s="38"/>
      <c r="Y58" s="38"/>
      <c r="Z58" s="26"/>
      <c r="AA58" s="38"/>
    </row>
    <row r="59" spans="1:27" x14ac:dyDescent="0.25">
      <c r="A59" s="22">
        <f t="shared" si="0"/>
        <v>41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N59" s="21"/>
      <c r="O59" s="26"/>
      <c r="P59" s="26"/>
      <c r="Q59" s="26"/>
      <c r="R59" s="26"/>
      <c r="S59" s="38"/>
      <c r="T59" s="38"/>
      <c r="U59" s="38"/>
      <c r="V59" s="38"/>
      <c r="W59" s="38"/>
      <c r="X59" s="38"/>
      <c r="Y59" s="38"/>
      <c r="Z59" s="26"/>
      <c r="AA59" s="38"/>
    </row>
    <row r="60" spans="1:27" x14ac:dyDescent="0.25">
      <c r="A60" s="21">
        <f t="shared" si="0"/>
        <v>42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N60" s="21"/>
      <c r="O60" s="26"/>
      <c r="P60" s="26"/>
      <c r="Q60" s="26"/>
      <c r="R60" s="26"/>
      <c r="S60" s="38"/>
      <c r="T60" s="38"/>
      <c r="U60" s="38"/>
      <c r="V60" s="38"/>
      <c r="W60" s="38"/>
      <c r="X60" s="38"/>
      <c r="Y60" s="38"/>
      <c r="Z60" s="26"/>
      <c r="AA60" s="38"/>
    </row>
    <row r="61" spans="1:27" x14ac:dyDescent="0.25">
      <c r="A61" s="21">
        <f t="shared" si="0"/>
        <v>43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N61" s="21"/>
      <c r="O61" s="26"/>
      <c r="P61" s="26"/>
      <c r="Q61" s="26"/>
      <c r="R61" s="26"/>
      <c r="S61" s="38"/>
      <c r="T61" s="38"/>
      <c r="U61" s="38"/>
      <c r="V61" s="38"/>
      <c r="W61" s="38"/>
      <c r="X61" s="38"/>
      <c r="Y61" s="38"/>
      <c r="Z61" s="26"/>
      <c r="AA61" s="38"/>
    </row>
    <row r="62" spans="1:27" x14ac:dyDescent="0.25">
      <c r="A62" s="21">
        <f t="shared" si="0"/>
        <v>44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N62" s="21"/>
      <c r="O62" s="26"/>
      <c r="P62" s="26"/>
      <c r="Q62" s="26"/>
      <c r="R62" s="26"/>
      <c r="S62" s="38"/>
      <c r="T62" s="38"/>
      <c r="U62" s="38"/>
      <c r="V62" s="38"/>
      <c r="W62" s="38"/>
      <c r="X62" s="38"/>
      <c r="Y62" s="38"/>
      <c r="Z62" s="26"/>
      <c r="AA62" s="38"/>
    </row>
    <row r="63" spans="1:27" x14ac:dyDescent="0.25">
      <c r="A63" s="21">
        <f t="shared" si="0"/>
        <v>45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N63" s="21"/>
      <c r="O63" s="26"/>
      <c r="P63" s="26"/>
      <c r="Q63" s="26"/>
      <c r="R63" s="26"/>
      <c r="S63" s="38"/>
      <c r="T63" s="38"/>
      <c r="U63" s="38"/>
      <c r="V63" s="38"/>
      <c r="W63" s="38"/>
      <c r="X63" s="38"/>
      <c r="Y63" s="38"/>
      <c r="Z63" s="26"/>
      <c r="AA63" s="38"/>
    </row>
    <row r="64" spans="1:27" x14ac:dyDescent="0.25">
      <c r="A64" s="22">
        <f t="shared" si="0"/>
        <v>46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N64" s="21"/>
      <c r="O64" s="26"/>
      <c r="P64" s="26"/>
      <c r="Q64" s="26"/>
      <c r="R64" s="26"/>
      <c r="S64" s="38"/>
      <c r="T64" s="38"/>
      <c r="U64" s="38"/>
      <c r="V64" s="38"/>
      <c r="W64" s="38"/>
      <c r="X64" s="38"/>
      <c r="Y64" s="38"/>
      <c r="Z64" s="26"/>
      <c r="AA64" s="38"/>
    </row>
    <row r="65" spans="1:27" x14ac:dyDescent="0.25">
      <c r="A65" s="21">
        <f t="shared" si="0"/>
        <v>47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N65" s="21"/>
      <c r="O65" s="26"/>
      <c r="P65" s="26"/>
      <c r="Q65" s="26"/>
      <c r="R65" s="26"/>
      <c r="S65" s="38"/>
      <c r="T65" s="38"/>
      <c r="U65" s="38"/>
      <c r="V65" s="38"/>
      <c r="W65" s="38"/>
      <c r="X65" s="38"/>
      <c r="Y65" s="38"/>
      <c r="Z65" s="26"/>
      <c r="AA65" s="38"/>
    </row>
    <row r="66" spans="1:27" x14ac:dyDescent="0.25">
      <c r="A66" s="21">
        <f t="shared" si="0"/>
        <v>48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N66" s="21"/>
      <c r="O66" s="26"/>
      <c r="P66" s="26"/>
      <c r="Q66" s="26"/>
      <c r="R66" s="26"/>
      <c r="S66" s="38"/>
      <c r="T66" s="38"/>
      <c r="U66" s="38"/>
      <c r="V66" s="38"/>
      <c r="W66" s="38"/>
      <c r="X66" s="38"/>
      <c r="Y66" s="38"/>
      <c r="Z66" s="26"/>
      <c r="AA66" s="38"/>
    </row>
    <row r="67" spans="1:27" x14ac:dyDescent="0.25">
      <c r="A67" s="21">
        <f t="shared" si="0"/>
        <v>49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N67" s="21"/>
      <c r="O67" s="26"/>
      <c r="P67" s="26"/>
      <c r="Q67" s="26"/>
      <c r="R67" s="26"/>
      <c r="S67" s="38"/>
      <c r="T67" s="38"/>
      <c r="U67" s="38"/>
      <c r="V67" s="38"/>
      <c r="W67" s="38"/>
      <c r="X67" s="38"/>
      <c r="Y67" s="38"/>
      <c r="Z67" s="26"/>
      <c r="AA67" s="38"/>
    </row>
    <row r="68" spans="1:27" x14ac:dyDescent="0.25">
      <c r="A68" s="21">
        <f t="shared" si="0"/>
        <v>50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N68" s="21"/>
      <c r="O68" s="26"/>
      <c r="P68" s="26"/>
      <c r="Q68" s="26"/>
      <c r="R68" s="26"/>
      <c r="S68" s="38"/>
      <c r="T68" s="38"/>
      <c r="U68" s="38"/>
      <c r="V68" s="38"/>
      <c r="W68" s="38"/>
      <c r="X68" s="38"/>
      <c r="Y68" s="38"/>
      <c r="Z68" s="26"/>
      <c r="AA68" s="38"/>
    </row>
    <row r="69" spans="1:27" x14ac:dyDescent="0.25">
      <c r="A69" s="21">
        <f t="shared" si="0"/>
        <v>51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N69" s="21"/>
      <c r="O69" s="26"/>
      <c r="P69" s="26"/>
      <c r="Q69" s="26"/>
      <c r="R69" s="26"/>
      <c r="S69" s="38"/>
      <c r="T69" s="38"/>
      <c r="U69" s="38"/>
      <c r="V69" s="38"/>
      <c r="W69" s="38"/>
      <c r="X69" s="38"/>
      <c r="Y69" s="38"/>
      <c r="Z69" s="26"/>
      <c r="AA69" s="38"/>
    </row>
    <row r="70" spans="1:27" x14ac:dyDescent="0.25">
      <c r="A70" s="22">
        <f t="shared" si="0"/>
        <v>52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N70" s="21"/>
      <c r="O70" s="26"/>
      <c r="P70" s="26"/>
      <c r="Q70" s="26"/>
      <c r="R70" s="26"/>
      <c r="S70" s="38"/>
      <c r="T70" s="38"/>
      <c r="U70" s="38"/>
      <c r="V70" s="38"/>
      <c r="W70" s="38"/>
      <c r="X70" s="38"/>
      <c r="Y70" s="38"/>
      <c r="Z70" s="26"/>
      <c r="AA70" s="38"/>
    </row>
    <row r="71" spans="1:27" x14ac:dyDescent="0.25">
      <c r="A71" s="21">
        <f t="shared" si="0"/>
        <v>53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N71" s="21"/>
      <c r="O71" s="26"/>
      <c r="P71" s="26"/>
      <c r="Q71" s="26"/>
      <c r="R71" s="26"/>
      <c r="S71" s="38"/>
      <c r="T71" s="38"/>
      <c r="U71" s="38"/>
      <c r="V71" s="38"/>
      <c r="W71" s="38"/>
      <c r="X71" s="38"/>
      <c r="Y71" s="38"/>
      <c r="Z71" s="26"/>
      <c r="AA71" s="38"/>
    </row>
    <row r="72" spans="1:27" x14ac:dyDescent="0.25">
      <c r="A72" s="21">
        <f t="shared" si="0"/>
        <v>54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N72" s="21"/>
      <c r="O72" s="26"/>
      <c r="P72" s="26"/>
      <c r="Q72" s="26"/>
      <c r="R72" s="26"/>
      <c r="S72" s="38"/>
      <c r="T72" s="38"/>
      <c r="U72" s="38"/>
      <c r="V72" s="38"/>
      <c r="W72" s="38"/>
      <c r="X72" s="38"/>
      <c r="Y72" s="38"/>
      <c r="Z72" s="26"/>
      <c r="AA72" s="38"/>
    </row>
    <row r="73" spans="1:27" x14ac:dyDescent="0.25">
      <c r="A73" s="21">
        <f t="shared" si="0"/>
        <v>55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N73" s="21"/>
      <c r="O73" s="26"/>
      <c r="P73" s="26"/>
      <c r="Q73" s="26"/>
      <c r="R73" s="26"/>
      <c r="S73" s="38"/>
      <c r="T73" s="38"/>
      <c r="U73" s="38"/>
      <c r="V73" s="38"/>
      <c r="W73" s="38"/>
      <c r="X73" s="38"/>
      <c r="Y73" s="38"/>
      <c r="Z73" s="26"/>
      <c r="AA73" s="38"/>
    </row>
    <row r="74" spans="1:27" x14ac:dyDescent="0.25">
      <c r="A74" s="21">
        <f t="shared" si="0"/>
        <v>56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N74" s="21"/>
      <c r="O74" s="26"/>
      <c r="P74" s="26"/>
      <c r="Q74" s="26"/>
      <c r="R74" s="26"/>
      <c r="S74" s="38"/>
      <c r="T74" s="38"/>
      <c r="U74" s="38"/>
      <c r="V74" s="38"/>
      <c r="W74" s="38"/>
      <c r="X74" s="38"/>
      <c r="Y74" s="38"/>
      <c r="Z74" s="26"/>
      <c r="AA74" s="38"/>
    </row>
    <row r="75" spans="1:27" x14ac:dyDescent="0.25">
      <c r="A75" s="22">
        <f t="shared" si="0"/>
        <v>57</v>
      </c>
      <c r="B75" s="29"/>
      <c r="C75" s="24"/>
      <c r="D75" s="24"/>
      <c r="E75" s="24"/>
      <c r="F75" s="24"/>
      <c r="G75" s="24"/>
      <c r="H75" s="24"/>
      <c r="I75" s="24"/>
      <c r="J75" s="24"/>
      <c r="K75" s="24"/>
      <c r="L75" s="24"/>
      <c r="N75" s="21"/>
      <c r="O75" s="26"/>
      <c r="P75" s="26"/>
      <c r="Q75" s="26"/>
      <c r="R75" s="26"/>
      <c r="S75" s="38"/>
      <c r="T75" s="38"/>
      <c r="U75" s="38"/>
      <c r="V75" s="38"/>
      <c r="W75" s="38"/>
      <c r="X75" s="38"/>
      <c r="Y75" s="38"/>
      <c r="Z75" s="26"/>
      <c r="AA75" s="38"/>
    </row>
    <row r="76" spans="1:27" x14ac:dyDescent="0.25">
      <c r="A76" s="21">
        <f t="shared" si="0"/>
        <v>58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N76" s="21"/>
      <c r="O76" s="26"/>
      <c r="P76" s="26"/>
      <c r="Q76" s="26"/>
      <c r="R76" s="26"/>
      <c r="S76" s="38"/>
      <c r="T76" s="38"/>
      <c r="U76" s="38"/>
      <c r="V76" s="38"/>
      <c r="W76" s="38"/>
      <c r="X76" s="38"/>
      <c r="Y76" s="38"/>
      <c r="Z76" s="26"/>
      <c r="AA76" s="38"/>
    </row>
    <row r="77" spans="1:27" x14ac:dyDescent="0.25">
      <c r="A77" s="21">
        <f t="shared" si="0"/>
        <v>59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N77" s="21"/>
      <c r="O77" s="26"/>
      <c r="P77" s="26"/>
      <c r="Q77" s="26"/>
      <c r="R77" s="26"/>
      <c r="S77" s="38"/>
      <c r="T77" s="38"/>
      <c r="U77" s="38"/>
      <c r="V77" s="38"/>
      <c r="W77" s="38"/>
      <c r="X77" s="38"/>
      <c r="Y77" s="38"/>
      <c r="Z77" s="26"/>
      <c r="AA77" s="38"/>
    </row>
    <row r="78" spans="1:27" x14ac:dyDescent="0.25">
      <c r="A78" s="21">
        <f t="shared" si="0"/>
        <v>60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N78" s="21"/>
      <c r="O78" s="26"/>
      <c r="P78" s="26"/>
      <c r="Q78" s="26"/>
      <c r="R78" s="26"/>
      <c r="S78" s="38"/>
      <c r="T78" s="38"/>
      <c r="U78" s="38"/>
      <c r="V78" s="38"/>
      <c r="W78" s="38"/>
      <c r="X78" s="38"/>
      <c r="Y78" s="38"/>
      <c r="Z78" s="26"/>
      <c r="AA78" s="38"/>
    </row>
    <row r="79" spans="1:27" x14ac:dyDescent="0.25">
      <c r="A79" s="21">
        <f t="shared" si="0"/>
        <v>61</v>
      </c>
      <c r="B79" s="28"/>
      <c r="C79" s="28"/>
      <c r="D79" s="28"/>
      <c r="E79" s="28"/>
      <c r="F79" s="28"/>
      <c r="G79" s="28"/>
      <c r="H79" s="23"/>
      <c r="I79" s="23"/>
      <c r="J79" s="23"/>
      <c r="K79" s="23"/>
      <c r="L79" s="23"/>
      <c r="N79" s="21"/>
      <c r="O79" s="26"/>
      <c r="P79" s="26"/>
      <c r="Q79" s="26"/>
      <c r="R79" s="26"/>
      <c r="S79" s="38"/>
      <c r="T79" s="38"/>
      <c r="U79" s="38"/>
      <c r="V79" s="38"/>
      <c r="W79" s="38"/>
      <c r="X79" s="38"/>
      <c r="Y79" s="38"/>
      <c r="Z79" s="26"/>
      <c r="AA79" s="38"/>
    </row>
    <row r="80" spans="1:27" x14ac:dyDescent="0.25">
      <c r="A80" s="22">
        <f t="shared" si="0"/>
        <v>62</v>
      </c>
      <c r="B80" s="27"/>
      <c r="C80" s="27"/>
      <c r="D80" s="27"/>
      <c r="E80" s="27"/>
      <c r="F80" s="27"/>
      <c r="G80" s="27"/>
      <c r="H80" s="24"/>
      <c r="I80" s="24"/>
      <c r="J80" s="24"/>
      <c r="K80" s="24"/>
      <c r="L80" s="24"/>
      <c r="N80" s="21"/>
      <c r="O80" s="26"/>
      <c r="P80" s="26"/>
      <c r="Q80" s="26"/>
      <c r="R80" s="26"/>
      <c r="S80" s="38"/>
      <c r="T80" s="38"/>
      <c r="U80" s="38"/>
      <c r="V80" s="38"/>
      <c r="W80" s="38"/>
      <c r="X80" s="38"/>
      <c r="Y80" s="38"/>
      <c r="Z80" s="26"/>
      <c r="AA80" s="38"/>
    </row>
    <row r="81" spans="1:27" x14ac:dyDescent="0.25">
      <c r="A81" s="18"/>
      <c r="B81" s="4"/>
      <c r="C81" s="4"/>
      <c r="D81" s="4"/>
      <c r="E81" s="4"/>
      <c r="F81" s="4"/>
      <c r="G81" s="4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 x14ac:dyDescent="0.25">
      <c r="A82" s="4"/>
      <c r="B82" s="4"/>
      <c r="C82" s="4"/>
      <c r="D82" s="4"/>
      <c r="E82" s="4"/>
      <c r="F82" s="4"/>
      <c r="G82" s="4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 x14ac:dyDescent="0.25">
      <c r="A83" s="14" t="s">
        <v>8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N83" s="40"/>
      <c r="O83" s="38"/>
      <c r="P83" s="38"/>
      <c r="Q83" s="38"/>
      <c r="R83" s="38"/>
      <c r="S83" s="38"/>
      <c r="T83" s="40"/>
      <c r="U83" s="38"/>
      <c r="V83" s="38"/>
      <c r="W83" s="38"/>
      <c r="X83" s="38"/>
      <c r="Y83" s="40"/>
      <c r="Z83" s="38"/>
      <c r="AA83" s="38"/>
    </row>
    <row r="84" spans="1:27" x14ac:dyDescent="0.25">
      <c r="A84" s="15" t="s">
        <v>21</v>
      </c>
      <c r="B84" s="30">
        <v>1</v>
      </c>
      <c r="C84" s="30">
        <v>2</v>
      </c>
      <c r="D84" s="30">
        <v>3</v>
      </c>
      <c r="E84" s="30">
        <v>4</v>
      </c>
      <c r="F84" s="30">
        <v>5</v>
      </c>
      <c r="G84" s="30">
        <v>6</v>
      </c>
      <c r="H84" s="30">
        <v>7</v>
      </c>
      <c r="I84" s="30">
        <v>8</v>
      </c>
      <c r="J84" s="30">
        <v>9</v>
      </c>
      <c r="K84" s="30">
        <v>10</v>
      </c>
      <c r="L84" s="30"/>
      <c r="N84" s="38"/>
      <c r="O84" s="41"/>
      <c r="P84" s="38"/>
      <c r="Q84" s="38"/>
      <c r="R84" s="38"/>
      <c r="S84" s="38"/>
      <c r="T84" s="38"/>
      <c r="U84" s="41"/>
      <c r="V84" s="38"/>
      <c r="W84" s="38"/>
      <c r="X84" s="38"/>
      <c r="Y84" s="38"/>
      <c r="Z84" s="41"/>
      <c r="AA84" s="38"/>
    </row>
    <row r="85" spans="1:27" x14ac:dyDescent="0.25">
      <c r="A85" s="16" t="s">
        <v>11</v>
      </c>
      <c r="B85" s="30">
        <v>7</v>
      </c>
      <c r="C85" s="30">
        <v>4</v>
      </c>
      <c r="D85" s="30">
        <v>4</v>
      </c>
      <c r="E85" s="30">
        <v>4</v>
      </c>
      <c r="F85" s="30">
        <v>5</v>
      </c>
      <c r="G85" s="30">
        <v>1</v>
      </c>
      <c r="H85" s="30">
        <v>1</v>
      </c>
      <c r="I85" s="30" t="s">
        <v>18</v>
      </c>
      <c r="J85" s="30" t="s">
        <v>18</v>
      </c>
      <c r="K85" s="30" t="s">
        <v>18</v>
      </c>
      <c r="L85" s="30"/>
      <c r="N85" s="38"/>
      <c r="O85" s="41"/>
      <c r="P85" s="41"/>
      <c r="Q85" s="41"/>
      <c r="R85" s="41"/>
      <c r="S85" s="38"/>
      <c r="T85" s="38"/>
      <c r="U85" s="41"/>
      <c r="V85" s="41"/>
      <c r="W85" s="41"/>
      <c r="X85" s="38"/>
      <c r="Y85" s="38"/>
      <c r="Z85" s="41"/>
      <c r="AA85" s="38"/>
    </row>
    <row r="86" spans="1:27" x14ac:dyDescent="0.25">
      <c r="A86" s="17" t="s">
        <v>3</v>
      </c>
      <c r="B86" s="31">
        <f>AVERAGE(B19:B80)</f>
        <v>3</v>
      </c>
      <c r="C86" s="31">
        <f t="shared" ref="C86:D86" si="1">AVERAGE(C19:C80)</f>
        <v>2</v>
      </c>
      <c r="D86" s="31">
        <f t="shared" si="1"/>
        <v>3</v>
      </c>
      <c r="E86" s="31">
        <f>AVERAGE(E19:E80)</f>
        <v>2</v>
      </c>
      <c r="F86" s="31">
        <f t="shared" ref="F86:K86" si="2">AVERAGE(F19:F80)</f>
        <v>2</v>
      </c>
      <c r="G86" s="31">
        <f t="shared" si="2"/>
        <v>2</v>
      </c>
      <c r="H86" s="31">
        <f t="shared" si="2"/>
        <v>2</v>
      </c>
      <c r="I86" s="31">
        <f t="shared" si="2"/>
        <v>3</v>
      </c>
      <c r="J86" s="31">
        <f t="shared" si="2"/>
        <v>3</v>
      </c>
      <c r="K86" s="31">
        <f t="shared" si="2"/>
        <v>3</v>
      </c>
      <c r="L86" s="31"/>
      <c r="N86" s="38"/>
      <c r="O86" s="42"/>
      <c r="P86" s="42"/>
      <c r="Q86" s="42"/>
      <c r="R86" s="42"/>
      <c r="S86" s="38"/>
      <c r="T86" s="38"/>
      <c r="U86" s="42"/>
      <c r="V86" s="42"/>
      <c r="W86" s="42"/>
      <c r="X86" s="38"/>
      <c r="Y86" s="38"/>
      <c r="Z86" s="42"/>
      <c r="AA86" s="38"/>
    </row>
    <row r="87" spans="1:27" x14ac:dyDescent="0.25">
      <c r="A87" s="16" t="s">
        <v>4</v>
      </c>
      <c r="B87" s="32">
        <f>STDEV(B19:B80)</f>
        <v>0</v>
      </c>
      <c r="C87" s="32">
        <f t="shared" ref="C87:D87" si="3">STDEV(C19:C80)</f>
        <v>0</v>
      </c>
      <c r="D87" s="32">
        <f t="shared" si="3"/>
        <v>0</v>
      </c>
      <c r="E87" s="32">
        <f>STDEV(E19:E80)</f>
        <v>0</v>
      </c>
      <c r="F87" s="32">
        <f t="shared" ref="F87:K87" si="4">STDEV(F19:F80)</f>
        <v>0</v>
      </c>
      <c r="G87" s="32">
        <f t="shared" si="4"/>
        <v>0</v>
      </c>
      <c r="H87" s="32">
        <f t="shared" si="4"/>
        <v>0</v>
      </c>
      <c r="I87" s="32">
        <f t="shared" si="4"/>
        <v>0</v>
      </c>
      <c r="J87" s="32">
        <f t="shared" si="4"/>
        <v>0</v>
      </c>
      <c r="K87" s="32">
        <f t="shared" si="4"/>
        <v>0</v>
      </c>
      <c r="L87" s="32"/>
      <c r="N87" s="38"/>
      <c r="O87" s="42"/>
      <c r="P87" s="42"/>
      <c r="Q87" s="42"/>
      <c r="R87" s="42"/>
      <c r="S87" s="38"/>
      <c r="T87" s="38"/>
      <c r="U87" s="42"/>
      <c r="V87" s="42"/>
      <c r="W87" s="42"/>
      <c r="X87" s="38"/>
      <c r="Y87" s="38"/>
      <c r="Z87" s="42"/>
      <c r="AA87" s="38"/>
    </row>
    <row r="88" spans="1:27" x14ac:dyDescent="0.25">
      <c r="A88" s="1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27" x14ac:dyDescent="0.25">
      <c r="A89" s="1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27" x14ac:dyDescent="0.25">
      <c r="A90" s="16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27" x14ac:dyDescent="0.25">
      <c r="A91" s="1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3" spans="1:27" x14ac:dyDescent="0.25">
      <c r="A93" s="8" t="s">
        <v>19</v>
      </c>
      <c r="B93" s="7"/>
      <c r="C93" s="7"/>
      <c r="D93" s="7"/>
      <c r="E93" s="7"/>
      <c r="F93" s="7"/>
      <c r="G93" s="4"/>
      <c r="H93" s="4"/>
      <c r="I93" s="4"/>
    </row>
    <row r="94" spans="1:27" x14ac:dyDescent="0.25">
      <c r="A94" s="43" t="s">
        <v>20</v>
      </c>
      <c r="B94" s="34">
        <v>1</v>
      </c>
      <c r="C94" s="34">
        <v>4</v>
      </c>
      <c r="D94" s="34">
        <v>5</v>
      </c>
      <c r="E94" s="20">
        <v>6</v>
      </c>
      <c r="F94" s="20">
        <v>7</v>
      </c>
      <c r="G94" s="4"/>
      <c r="H94" s="4"/>
      <c r="I94" s="4"/>
    </row>
    <row r="95" spans="1:27" x14ac:dyDescent="0.25">
      <c r="A95" s="8"/>
      <c r="B95" s="34"/>
      <c r="C95" s="34"/>
      <c r="D95" s="34"/>
      <c r="E95" s="20"/>
      <c r="F95" s="20"/>
      <c r="G95" s="4"/>
      <c r="H95" s="4"/>
      <c r="I95" s="4"/>
    </row>
    <row r="96" spans="1:27" x14ac:dyDescent="0.25">
      <c r="A96" s="7" t="s">
        <v>6</v>
      </c>
      <c r="B96" s="35">
        <f>AVERAGE(G86,H86,I86,J86,K86)</f>
        <v>2.6</v>
      </c>
      <c r="C96" s="35">
        <f>AVERAGE(C86,D86,E86)</f>
        <v>2.3333333333333335</v>
      </c>
      <c r="D96" s="35">
        <f>AVERAGE(F86)</f>
        <v>2</v>
      </c>
      <c r="E96" s="35">
        <f>AVERAGE(I86,J86,K86)</f>
        <v>3</v>
      </c>
      <c r="F96" s="35">
        <f>AVERAGE(B86)</f>
        <v>3</v>
      </c>
      <c r="G96" s="4"/>
      <c r="H96" s="4"/>
      <c r="I96" s="37"/>
    </row>
    <row r="97" spans="1:9" x14ac:dyDescent="0.25">
      <c r="A97" s="7" t="s">
        <v>7</v>
      </c>
      <c r="B97" s="35">
        <f>STDEV(G86,H86,I86,J86,K86)</f>
        <v>0.54772255750516674</v>
      </c>
      <c r="C97" s="35">
        <f>STDEV(C86,D86,E86)</f>
        <v>0.57735026918962629</v>
      </c>
      <c r="D97" s="35">
        <f>STDEV(E19:E80)</f>
        <v>0</v>
      </c>
      <c r="E97" s="36">
        <f>STDEV(I86,J86,K86)</f>
        <v>0</v>
      </c>
      <c r="F97" s="36">
        <f>STDEV(B19:B80)</f>
        <v>0</v>
      </c>
      <c r="G97" s="4"/>
      <c r="H97" s="4"/>
      <c r="I97" s="37"/>
    </row>
    <row r="99" spans="1:9" x14ac:dyDescent="0.25">
      <c r="B99" s="33"/>
    </row>
    <row r="142" spans="1:20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x14ac:dyDescent="0.25">
      <c r="A153" s="4"/>
      <c r="B153" s="4"/>
      <c r="C153" s="4"/>
      <c r="D153" s="4"/>
      <c r="E153" s="4"/>
      <c r="F153" s="4"/>
      <c r="G153" s="4"/>
      <c r="H153" s="9"/>
      <c r="I153" s="9"/>
      <c r="J153" s="9"/>
      <c r="K153" s="9"/>
      <c r="L153" s="9"/>
      <c r="M153" s="4"/>
      <c r="N153" s="4"/>
      <c r="O153" s="4"/>
      <c r="P153" s="4"/>
      <c r="Q153" s="4"/>
      <c r="R153" s="4"/>
      <c r="S153" s="4"/>
      <c r="T153" s="4"/>
    </row>
    <row r="154" spans="1:2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x14ac:dyDescent="0.25">
      <c r="A175" s="4"/>
      <c r="B175" s="1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x14ac:dyDescent="0.25">
      <c r="A176" s="4"/>
      <c r="B176" s="1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x14ac:dyDescent="0.25">
      <c r="A177" s="4"/>
      <c r="B177" s="1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x14ac:dyDescent="0.25">
      <c r="A178" s="4"/>
      <c r="B178" s="1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x14ac:dyDescent="0.25">
      <c r="A180" s="1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</cp:lastModifiedBy>
  <dcterms:created xsi:type="dcterms:W3CDTF">2013-01-15T05:38:26Z</dcterms:created>
  <dcterms:modified xsi:type="dcterms:W3CDTF">2020-02-19T20:39:26Z</dcterms:modified>
</cp:coreProperties>
</file>