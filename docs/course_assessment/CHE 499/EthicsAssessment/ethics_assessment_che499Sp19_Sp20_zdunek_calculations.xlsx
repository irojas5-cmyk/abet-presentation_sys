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ocuments\ABET_2020-InProgress\2020_SelfStudyReport\Criterion3-StudentOutcomes\"/>
    </mc:Choice>
  </mc:AlternateContent>
  <xr:revisionPtr revIDLastSave="0" documentId="13_ncr:1_{5F4BBA90-06B9-4A3E-BA7A-1E7FCF44ECF9}" xr6:coauthVersionLast="44" xr6:coauthVersionMax="44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95" i="1" l="1"/>
  <c r="B94" i="1"/>
  <c r="B85" i="1"/>
  <c r="C85" i="1"/>
  <c r="C84" i="1"/>
  <c r="B84" i="1"/>
  <c r="A40" i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</calcChain>
</file>

<file path=xl/sharedStrings.xml><?xml version="1.0" encoding="utf-8"?>
<sst xmlns="http://schemas.openxmlformats.org/spreadsheetml/2006/main" count="43" uniqueCount="37">
  <si>
    <t>SO</t>
  </si>
  <si>
    <t>Unsatisfactory</t>
  </si>
  <si>
    <t>Developing</t>
  </si>
  <si>
    <t>Satisfactory</t>
  </si>
  <si>
    <t>Average</t>
  </si>
  <si>
    <t>Std Dev</t>
  </si>
  <si>
    <t>Student</t>
  </si>
  <si>
    <t>Average Score</t>
  </si>
  <si>
    <t>Standard dev.</t>
  </si>
  <si>
    <t>RESULTS BY STUDENT OUTCOME</t>
  </si>
  <si>
    <t>RESULTS BY PERFORMANCE INDICATOR</t>
  </si>
  <si>
    <t>Mapped SO</t>
  </si>
  <si>
    <t>RATINGS</t>
  </si>
  <si>
    <t>Prepared by A.Z. Zdunek</t>
  </si>
  <si>
    <t>Rubric #</t>
  </si>
  <si>
    <t>Problem</t>
  </si>
  <si>
    <t>Rubric</t>
  </si>
  <si>
    <t>PI</t>
  </si>
  <si>
    <t>Total pts</t>
  </si>
  <si>
    <t>Performance Indicators:</t>
  </si>
  <si>
    <t>Performance Indicators used</t>
  </si>
  <si>
    <t>`</t>
  </si>
  <si>
    <t>CHE 499 Professional Development Seminar</t>
  </si>
  <si>
    <t>Assessment of student outcome 4 (SLO 4)</t>
  </si>
  <si>
    <t>Student Learning Outcome 4</t>
  </si>
  <si>
    <t>Ethics Quiz</t>
  </si>
  <si>
    <t xml:space="preserve">An ability to recognize ethical and professional responsibilities in engineering situations and make informed judgments, </t>
  </si>
  <si>
    <t>which must consider the impact of engineering solutions in global, economic, environmental, and societal contexts.</t>
  </si>
  <si>
    <t>Semester</t>
  </si>
  <si>
    <t>Spring 2019</t>
  </si>
  <si>
    <t>Spring 2020</t>
  </si>
  <si>
    <t>11-12</t>
  </si>
  <si>
    <t>&lt;6</t>
  </si>
  <si>
    <t>7-10</t>
  </si>
  <si>
    <t>1. The understanding of the Code of Ethics, National Society of Professional Engineers (NSPE)</t>
  </si>
  <si>
    <t>71% (42 out of 59) of the students scored 83% or better (10/12 or better)</t>
  </si>
  <si>
    <t>95% of the students scored 83% or better (10/12 or better)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</si>
</sst>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Fon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right"/>
    </xf>
    <xf numFmtId="0" fontId="0" fillId="4" borderId="0" xfId="0" applyFill="1"/>
    <xf numFmtId="2" fontId="0" fillId="4" borderId="0" xfId="0" applyNumberFormat="1" applyFill="1"/>
    <xf numFmtId="2" fontId="0" fillId="3" borderId="0" xfId="0" applyNumberFormat="1" applyFill="1"/>
    <xf numFmtId="0" fontId="1" fillId="3" borderId="0" xfId="0" applyFont="1" applyFill="1"/>
    <xf numFmtId="0" fontId="1" fillId="4" borderId="0" xfId="0" applyFont="1" applyFill="1"/>
    <xf numFmtId="0" fontId="0" fillId="0" borderId="0" xfId="0" applyFill="1" applyAlignment="1">
      <alignment horizontal="right"/>
    </xf>
    <xf numFmtId="0" fontId="2" fillId="0" borderId="0" xfId="0" applyFont="1" applyFill="1"/>
    <xf numFmtId="0" fontId="1" fillId="0" borderId="0" xfId="0" applyFont="1" applyFill="1"/>
    <xf numFmtId="0" fontId="0" fillId="2" borderId="0" xfId="0" applyFont="1" applyFill="1"/>
    <xf numFmtId="0" fontId="0" fillId="5" borderId="0" xfId="0" applyFill="1"/>
    <xf numFmtId="0" fontId="0" fillId="5" borderId="0" xfId="0" applyFill="1" applyAlignment="1">
      <alignment horizontal="right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16" fontId="0" fillId="4" borderId="1" xfId="0" applyNumberFormat="1" applyFill="1" applyBorder="1" applyAlignment="1">
      <alignment horizontal="center" vertical="center"/>
    </xf>
    <xf numFmtId="0" fontId="3" fillId="0" borderId="0" xfId="0" applyFont="1"/>
    <xf numFmtId="16" fontId="0" fillId="4" borderId="1" xfId="0" quotePrefix="1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37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5CAAA2-9D68-405A-BDEB-4D45D982B00F}"/>
            </a:ext>
          </a:extLst>
        </xdr:cNvPr>
        <xdr:cNvSpPr txBox="1"/>
      </xdr:nvSpPr>
      <xdr:spPr>
        <a:xfrm>
          <a:off x="3600450" y="4191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0</xdr:colOff>
      <xdr:row>37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7444A52-1E4A-4E3F-8B54-33AA419981A3}"/>
            </a:ext>
          </a:extLst>
        </xdr:cNvPr>
        <xdr:cNvSpPr txBox="1"/>
      </xdr:nvSpPr>
      <xdr:spPr>
        <a:xfrm>
          <a:off x="10515600" y="4762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56"/>
  <sheetViews>
    <sheetView tabSelected="1" topLeftCell="A64" workbookViewId="0">
      <selection activeCell="I85" sqref="I85"/>
    </sheetView>
  </sheetViews>
  <sheetFormatPr defaultRowHeight="15" x14ac:dyDescent="0.25"/>
  <cols>
    <col min="1" max="1" width="27.7109375" customWidth="1"/>
    <col min="2" max="2" width="11.5703125" customWidth="1"/>
    <col min="3" max="3" width="11" customWidth="1"/>
    <col min="7" max="7" width="11.85546875" customWidth="1"/>
    <col min="8" max="8" width="9.140625" customWidth="1"/>
    <col min="9" max="9" width="16.42578125" customWidth="1"/>
    <col min="10" max="10" width="14" customWidth="1"/>
    <col min="11" max="11" width="16" customWidth="1"/>
    <col min="12" max="12" width="17.42578125" customWidth="1"/>
    <col min="13" max="13" width="16.140625" customWidth="1"/>
    <col min="15" max="15" width="9.140625" customWidth="1"/>
  </cols>
  <sheetData>
    <row r="1" spans="1:22" x14ac:dyDescent="0.25">
      <c r="A1" s="1" t="s">
        <v>22</v>
      </c>
      <c r="F1" s="1" t="s">
        <v>24</v>
      </c>
    </row>
    <row r="2" spans="1:22" ht="15.75" x14ac:dyDescent="0.25">
      <c r="A2" s="1"/>
      <c r="F2" s="25" t="s">
        <v>26</v>
      </c>
    </row>
    <row r="3" spans="1:22" x14ac:dyDescent="0.25">
      <c r="A3" s="1" t="s">
        <v>23</v>
      </c>
      <c r="F3" t="s">
        <v>27</v>
      </c>
    </row>
    <row r="4" spans="1:22" x14ac:dyDescent="0.25">
      <c r="A4" s="3" t="s">
        <v>25</v>
      </c>
      <c r="B4" s="3"/>
      <c r="C4" s="3"/>
      <c r="D4" s="3"/>
    </row>
    <row r="5" spans="1:22" x14ac:dyDescent="0.25">
      <c r="A5" s="3" t="s">
        <v>13</v>
      </c>
      <c r="B5" s="3"/>
      <c r="C5" s="3"/>
      <c r="D5" s="3"/>
      <c r="E5" s="3"/>
      <c r="F5" s="1" t="s">
        <v>19</v>
      </c>
      <c r="G5" s="3"/>
    </row>
    <row r="6" spans="1:22" x14ac:dyDescent="0.25">
      <c r="A6" s="3"/>
      <c r="B6" s="3"/>
      <c r="C6" s="3"/>
      <c r="D6" s="3"/>
      <c r="E6" s="3"/>
      <c r="F6" s="3" t="s">
        <v>34</v>
      </c>
      <c r="G6" s="3"/>
    </row>
    <row r="7" spans="1:22" x14ac:dyDescent="0.25">
      <c r="A7" s="3"/>
      <c r="F7" t="s">
        <v>16</v>
      </c>
    </row>
    <row r="8" spans="1:22" x14ac:dyDescent="0.25">
      <c r="F8" s="22" t="s">
        <v>17</v>
      </c>
      <c r="G8" s="22" t="s">
        <v>15</v>
      </c>
      <c r="H8" s="22" t="s">
        <v>18</v>
      </c>
      <c r="I8" s="22" t="s">
        <v>1</v>
      </c>
      <c r="J8" s="22" t="s">
        <v>2</v>
      </c>
      <c r="K8" s="22" t="s">
        <v>3</v>
      </c>
    </row>
    <row r="9" spans="1:22" x14ac:dyDescent="0.25">
      <c r="A9" s="16" t="s">
        <v>12</v>
      </c>
      <c r="B9" s="5"/>
      <c r="C9" s="5"/>
      <c r="F9" s="22">
        <v>1</v>
      </c>
      <c r="G9" s="22" t="s">
        <v>25</v>
      </c>
      <c r="H9" s="22">
        <v>12</v>
      </c>
      <c r="I9" s="23" t="s">
        <v>32</v>
      </c>
      <c r="J9" s="26" t="s">
        <v>33</v>
      </c>
      <c r="K9" s="26" t="s">
        <v>31</v>
      </c>
    </row>
    <row r="10" spans="1:22" x14ac:dyDescent="0.25">
      <c r="A10" s="5">
        <v>1</v>
      </c>
      <c r="B10" s="5" t="s">
        <v>1</v>
      </c>
      <c r="C10" s="5"/>
      <c r="F10" s="22"/>
      <c r="G10" s="22"/>
      <c r="H10" s="22"/>
      <c r="I10" s="23"/>
      <c r="J10" s="24"/>
      <c r="K10" s="23"/>
    </row>
    <row r="11" spans="1:22" x14ac:dyDescent="0.25">
      <c r="A11" s="5">
        <v>2</v>
      </c>
      <c r="B11" s="5" t="s">
        <v>2</v>
      </c>
      <c r="C11" s="5"/>
      <c r="F11" s="22"/>
      <c r="G11" s="22"/>
      <c r="H11" s="22"/>
      <c r="I11" s="23"/>
      <c r="J11" s="23"/>
      <c r="K11" s="23"/>
    </row>
    <row r="12" spans="1:22" x14ac:dyDescent="0.25">
      <c r="A12" s="5">
        <v>3</v>
      </c>
      <c r="B12" s="5" t="s">
        <v>3</v>
      </c>
      <c r="C12" s="5"/>
    </row>
    <row r="13" spans="1:22" x14ac:dyDescent="0.25">
      <c r="A13" s="5"/>
      <c r="B13" s="5"/>
      <c r="C13" s="5"/>
      <c r="V13" t="s">
        <v>21</v>
      </c>
    </row>
    <row r="15" spans="1:22" x14ac:dyDescent="0.25">
      <c r="A15" s="17" t="s">
        <v>20</v>
      </c>
      <c r="B15" s="17">
        <v>1</v>
      </c>
      <c r="C15" s="17">
        <v>1</v>
      </c>
      <c r="D15" s="17"/>
      <c r="E15" s="17"/>
    </row>
    <row r="16" spans="1:22" x14ac:dyDescent="0.25">
      <c r="A16" s="17" t="s">
        <v>28</v>
      </c>
      <c r="B16" s="18" t="s">
        <v>29</v>
      </c>
      <c r="C16" s="18" t="s">
        <v>30</v>
      </c>
      <c r="D16" s="18"/>
      <c r="E16" s="18"/>
      <c r="F16" s="2"/>
      <c r="G16" s="2"/>
    </row>
    <row r="17" spans="1:4" x14ac:dyDescent="0.25">
      <c r="B17" s="2"/>
    </row>
    <row r="18" spans="1:4" x14ac:dyDescent="0.25">
      <c r="A18" t="s">
        <v>6</v>
      </c>
      <c r="B18" s="2"/>
    </row>
    <row r="19" spans="1:4" x14ac:dyDescent="0.25">
      <c r="A19" s="19">
        <v>1</v>
      </c>
      <c r="B19">
        <v>3</v>
      </c>
      <c r="C19">
        <v>3</v>
      </c>
      <c r="D19" s="19"/>
    </row>
    <row r="20" spans="1:4" x14ac:dyDescent="0.25">
      <c r="A20" s="19">
        <v>2</v>
      </c>
      <c r="B20">
        <v>3</v>
      </c>
      <c r="C20">
        <v>3</v>
      </c>
      <c r="D20" s="19"/>
    </row>
    <row r="21" spans="1:4" x14ac:dyDescent="0.25">
      <c r="A21" s="19">
        <v>3</v>
      </c>
      <c r="B21">
        <v>3</v>
      </c>
      <c r="C21">
        <v>3</v>
      </c>
      <c r="D21" s="19"/>
    </row>
    <row r="22" spans="1:4" x14ac:dyDescent="0.25">
      <c r="A22" s="19">
        <v>4</v>
      </c>
      <c r="B22">
        <v>3</v>
      </c>
      <c r="C22">
        <v>3</v>
      </c>
      <c r="D22" s="19"/>
    </row>
    <row r="23" spans="1:4" x14ac:dyDescent="0.25">
      <c r="A23" s="19">
        <v>5</v>
      </c>
      <c r="B23">
        <v>3</v>
      </c>
      <c r="C23">
        <v>3</v>
      </c>
      <c r="D23" s="19"/>
    </row>
    <row r="24" spans="1:4" x14ac:dyDescent="0.25">
      <c r="A24" s="19">
        <v>6</v>
      </c>
      <c r="B24">
        <v>3</v>
      </c>
      <c r="C24">
        <v>3</v>
      </c>
      <c r="D24" s="19"/>
    </row>
    <row r="25" spans="1:4" x14ac:dyDescent="0.25">
      <c r="A25" s="19">
        <v>7</v>
      </c>
      <c r="B25">
        <v>3</v>
      </c>
      <c r="C25">
        <v>3</v>
      </c>
      <c r="D25" s="19"/>
    </row>
    <row r="26" spans="1:4" x14ac:dyDescent="0.25">
      <c r="A26" s="19">
        <v>8</v>
      </c>
      <c r="B26">
        <v>3</v>
      </c>
      <c r="C26">
        <v>3</v>
      </c>
      <c r="D26" s="19"/>
    </row>
    <row r="27" spans="1:4" x14ac:dyDescent="0.25">
      <c r="A27" s="19">
        <v>9</v>
      </c>
      <c r="B27">
        <v>3</v>
      </c>
      <c r="C27">
        <v>3</v>
      </c>
      <c r="D27" s="19"/>
    </row>
    <row r="28" spans="1:4" x14ac:dyDescent="0.25">
      <c r="A28" s="19">
        <v>10</v>
      </c>
      <c r="B28">
        <v>2</v>
      </c>
      <c r="C28">
        <v>3</v>
      </c>
      <c r="D28" s="19"/>
    </row>
    <row r="29" spans="1:4" x14ac:dyDescent="0.25">
      <c r="A29" s="19">
        <v>11</v>
      </c>
      <c r="B29">
        <v>3</v>
      </c>
      <c r="C29">
        <v>1</v>
      </c>
      <c r="D29" s="19"/>
    </row>
    <row r="30" spans="1:4" x14ac:dyDescent="0.25">
      <c r="A30" s="19">
        <v>12</v>
      </c>
      <c r="B30">
        <v>3</v>
      </c>
      <c r="C30">
        <v>3</v>
      </c>
      <c r="D30" s="19"/>
    </row>
    <row r="31" spans="1:4" x14ac:dyDescent="0.25">
      <c r="A31" s="19">
        <v>13</v>
      </c>
      <c r="B31">
        <v>3</v>
      </c>
      <c r="C31">
        <v>3</v>
      </c>
      <c r="D31" s="19"/>
    </row>
    <row r="32" spans="1:4" x14ac:dyDescent="0.25">
      <c r="A32" s="19">
        <v>14</v>
      </c>
      <c r="B32">
        <v>3</v>
      </c>
      <c r="C32">
        <v>3</v>
      </c>
      <c r="D32" s="19"/>
    </row>
    <row r="33" spans="1:4" x14ac:dyDescent="0.25">
      <c r="A33" s="19">
        <v>15</v>
      </c>
      <c r="B33">
        <v>3</v>
      </c>
      <c r="C33">
        <v>3</v>
      </c>
      <c r="D33" s="19"/>
    </row>
    <row r="34" spans="1:4" x14ac:dyDescent="0.25">
      <c r="A34" s="19">
        <v>16</v>
      </c>
      <c r="B34">
        <v>3</v>
      </c>
      <c r="C34">
        <v>3</v>
      </c>
      <c r="D34" s="19"/>
    </row>
    <row r="35" spans="1:4" x14ac:dyDescent="0.25">
      <c r="A35" s="19">
        <v>17</v>
      </c>
      <c r="B35">
        <v>3</v>
      </c>
      <c r="C35">
        <v>3</v>
      </c>
      <c r="D35" s="19"/>
    </row>
    <row r="36" spans="1:4" x14ac:dyDescent="0.25">
      <c r="A36" s="19">
        <v>18</v>
      </c>
      <c r="B36">
        <v>3</v>
      </c>
      <c r="C36">
        <v>3</v>
      </c>
      <c r="D36" s="19"/>
    </row>
    <row r="37" spans="1:4" x14ac:dyDescent="0.25">
      <c r="A37" s="19">
        <v>19</v>
      </c>
      <c r="B37">
        <v>3</v>
      </c>
      <c r="C37">
        <v>3</v>
      </c>
      <c r="D37" s="19"/>
    </row>
    <row r="38" spans="1:4" x14ac:dyDescent="0.25">
      <c r="A38" s="19">
        <v>20</v>
      </c>
      <c r="B38">
        <v>2</v>
      </c>
      <c r="C38">
        <v>3</v>
      </c>
      <c r="D38" s="19"/>
    </row>
    <row r="39" spans="1:4" x14ac:dyDescent="0.25">
      <c r="A39" s="19">
        <v>21</v>
      </c>
      <c r="B39">
        <v>2</v>
      </c>
      <c r="C39">
        <v>3</v>
      </c>
      <c r="D39" s="19"/>
    </row>
    <row r="40" spans="1:4" x14ac:dyDescent="0.25">
      <c r="A40" s="19">
        <f>A39+1</f>
        <v>22</v>
      </c>
      <c r="B40">
        <v>2</v>
      </c>
      <c r="C40">
        <v>3</v>
      </c>
      <c r="D40" s="19"/>
    </row>
    <row r="41" spans="1:4" x14ac:dyDescent="0.25">
      <c r="A41" s="19">
        <f t="shared" ref="A41:A80" si="0">A40+1</f>
        <v>23</v>
      </c>
      <c r="B41">
        <v>2</v>
      </c>
      <c r="C41">
        <v>3</v>
      </c>
    </row>
    <row r="42" spans="1:4" x14ac:dyDescent="0.25">
      <c r="A42" s="19">
        <f t="shared" si="0"/>
        <v>24</v>
      </c>
      <c r="B42">
        <v>2</v>
      </c>
      <c r="C42">
        <v>3</v>
      </c>
    </row>
    <row r="43" spans="1:4" x14ac:dyDescent="0.25">
      <c r="A43" s="19">
        <f t="shared" si="0"/>
        <v>25</v>
      </c>
      <c r="B43">
        <v>2</v>
      </c>
      <c r="C43">
        <v>3</v>
      </c>
    </row>
    <row r="44" spans="1:4" x14ac:dyDescent="0.25">
      <c r="A44" s="19">
        <f t="shared" si="0"/>
        <v>26</v>
      </c>
      <c r="B44">
        <v>2</v>
      </c>
      <c r="C44">
        <v>3</v>
      </c>
    </row>
    <row r="45" spans="1:4" x14ac:dyDescent="0.25">
      <c r="A45" s="19">
        <f t="shared" si="0"/>
        <v>27</v>
      </c>
      <c r="B45">
        <v>2</v>
      </c>
      <c r="C45">
        <v>3</v>
      </c>
    </row>
    <row r="46" spans="1:4" x14ac:dyDescent="0.25">
      <c r="A46" s="19">
        <f t="shared" si="0"/>
        <v>28</v>
      </c>
      <c r="B46">
        <v>2</v>
      </c>
      <c r="C46">
        <v>3</v>
      </c>
    </row>
    <row r="47" spans="1:4" x14ac:dyDescent="0.25">
      <c r="A47" s="19">
        <f t="shared" si="0"/>
        <v>29</v>
      </c>
      <c r="B47">
        <v>2</v>
      </c>
      <c r="C47">
        <v>3</v>
      </c>
    </row>
    <row r="48" spans="1:4" x14ac:dyDescent="0.25">
      <c r="A48" s="19">
        <f t="shared" si="0"/>
        <v>30</v>
      </c>
      <c r="B48">
        <v>2</v>
      </c>
      <c r="C48">
        <v>2</v>
      </c>
    </row>
    <row r="49" spans="1:7" x14ac:dyDescent="0.25">
      <c r="A49" s="19">
        <f t="shared" si="0"/>
        <v>31</v>
      </c>
      <c r="B49">
        <v>2</v>
      </c>
      <c r="C49">
        <v>3</v>
      </c>
    </row>
    <row r="50" spans="1:7" x14ac:dyDescent="0.25">
      <c r="A50" s="19">
        <f t="shared" si="0"/>
        <v>32</v>
      </c>
      <c r="B50">
        <v>2</v>
      </c>
      <c r="C50">
        <v>3</v>
      </c>
    </row>
    <row r="51" spans="1:7" x14ac:dyDescent="0.25">
      <c r="A51" s="19">
        <f t="shared" si="0"/>
        <v>33</v>
      </c>
      <c r="B51">
        <v>2</v>
      </c>
      <c r="C51">
        <v>3</v>
      </c>
    </row>
    <row r="52" spans="1:7" x14ac:dyDescent="0.25">
      <c r="A52" s="19">
        <f t="shared" si="0"/>
        <v>34</v>
      </c>
      <c r="B52">
        <v>2</v>
      </c>
      <c r="C52">
        <v>3</v>
      </c>
    </row>
    <row r="53" spans="1:7" x14ac:dyDescent="0.25">
      <c r="A53" s="19">
        <f t="shared" si="0"/>
        <v>35</v>
      </c>
      <c r="B53">
        <v>2</v>
      </c>
      <c r="C53">
        <v>3</v>
      </c>
    </row>
    <row r="54" spans="1:7" x14ac:dyDescent="0.25">
      <c r="A54" s="19">
        <f t="shared" si="0"/>
        <v>36</v>
      </c>
      <c r="B54">
        <v>2</v>
      </c>
      <c r="C54">
        <v>3</v>
      </c>
    </row>
    <row r="55" spans="1:7" x14ac:dyDescent="0.25">
      <c r="A55" s="19">
        <f t="shared" si="0"/>
        <v>37</v>
      </c>
      <c r="B55">
        <v>2</v>
      </c>
      <c r="C55">
        <v>3</v>
      </c>
    </row>
    <row r="56" spans="1:7" x14ac:dyDescent="0.25">
      <c r="A56" s="19">
        <f t="shared" si="0"/>
        <v>38</v>
      </c>
      <c r="B56">
        <v>2</v>
      </c>
      <c r="C56">
        <v>3</v>
      </c>
    </row>
    <row r="57" spans="1:7" x14ac:dyDescent="0.25">
      <c r="A57" s="19">
        <f t="shared" si="0"/>
        <v>39</v>
      </c>
      <c r="B57">
        <v>2</v>
      </c>
      <c r="C57">
        <v>3</v>
      </c>
    </row>
    <row r="58" spans="1:7" x14ac:dyDescent="0.25">
      <c r="A58" s="19">
        <f t="shared" si="0"/>
        <v>40</v>
      </c>
      <c r="B58">
        <v>2</v>
      </c>
      <c r="C58">
        <v>3</v>
      </c>
    </row>
    <row r="59" spans="1:7" x14ac:dyDescent="0.25">
      <c r="A59" s="19">
        <f t="shared" si="0"/>
        <v>41</v>
      </c>
      <c r="B59">
        <v>2</v>
      </c>
      <c r="C59">
        <v>3</v>
      </c>
    </row>
    <row r="60" spans="1:7" x14ac:dyDescent="0.25">
      <c r="A60" s="19">
        <f t="shared" si="0"/>
        <v>42</v>
      </c>
      <c r="B60">
        <v>2</v>
      </c>
      <c r="C60">
        <v>3</v>
      </c>
    </row>
    <row r="61" spans="1:7" x14ac:dyDescent="0.25">
      <c r="A61" s="19">
        <f t="shared" si="0"/>
        <v>43</v>
      </c>
      <c r="B61">
        <v>2</v>
      </c>
      <c r="C61">
        <v>3</v>
      </c>
    </row>
    <row r="62" spans="1:7" x14ac:dyDescent="0.25">
      <c r="A62" s="19">
        <f t="shared" si="0"/>
        <v>44</v>
      </c>
      <c r="B62">
        <v>2</v>
      </c>
      <c r="C62">
        <v>3</v>
      </c>
      <c r="D62" s="4"/>
      <c r="E62" s="4"/>
      <c r="F62" s="4"/>
      <c r="G62" s="4"/>
    </row>
    <row r="63" spans="1:7" x14ac:dyDescent="0.25">
      <c r="A63" s="19">
        <f t="shared" si="0"/>
        <v>45</v>
      </c>
      <c r="B63">
        <v>2</v>
      </c>
      <c r="C63">
        <v>2</v>
      </c>
      <c r="D63" s="4"/>
      <c r="E63" s="4"/>
      <c r="F63" s="4"/>
      <c r="G63" s="4"/>
    </row>
    <row r="64" spans="1:7" x14ac:dyDescent="0.25">
      <c r="A64" s="19">
        <f t="shared" si="0"/>
        <v>46</v>
      </c>
      <c r="B64">
        <v>2</v>
      </c>
      <c r="C64">
        <v>3</v>
      </c>
      <c r="D64" s="4"/>
      <c r="E64" s="4"/>
      <c r="F64" s="4"/>
      <c r="G64" s="4"/>
    </row>
    <row r="65" spans="1:13" x14ac:dyDescent="0.25">
      <c r="A65" s="19">
        <f t="shared" si="0"/>
        <v>47</v>
      </c>
      <c r="B65">
        <v>2</v>
      </c>
      <c r="C65">
        <v>3</v>
      </c>
      <c r="D65" s="4"/>
      <c r="E65" s="4"/>
      <c r="F65" s="4"/>
      <c r="G65" s="4"/>
    </row>
    <row r="66" spans="1:13" x14ac:dyDescent="0.25">
      <c r="A66" s="19">
        <f t="shared" si="0"/>
        <v>48</v>
      </c>
      <c r="B66">
        <v>2</v>
      </c>
      <c r="C66">
        <v>3</v>
      </c>
    </row>
    <row r="67" spans="1:13" x14ac:dyDescent="0.25">
      <c r="A67" s="19">
        <f t="shared" si="0"/>
        <v>49</v>
      </c>
      <c r="B67">
        <v>2</v>
      </c>
      <c r="C67">
        <v>3</v>
      </c>
    </row>
    <row r="68" spans="1:13" x14ac:dyDescent="0.25">
      <c r="A68" s="19">
        <f t="shared" si="0"/>
        <v>50</v>
      </c>
      <c r="B68">
        <v>2</v>
      </c>
      <c r="C68">
        <v>3</v>
      </c>
    </row>
    <row r="69" spans="1:13" x14ac:dyDescent="0.25">
      <c r="A69" s="19">
        <f t="shared" si="0"/>
        <v>51</v>
      </c>
      <c r="B69">
        <v>2</v>
      </c>
      <c r="C69">
        <v>2</v>
      </c>
      <c r="I69" s="2"/>
      <c r="J69" s="2"/>
      <c r="K69" s="2"/>
      <c r="L69" s="2"/>
      <c r="M69" s="2"/>
    </row>
    <row r="70" spans="1:13" x14ac:dyDescent="0.25">
      <c r="A70" s="19">
        <f t="shared" si="0"/>
        <v>52</v>
      </c>
      <c r="B70">
        <v>2</v>
      </c>
      <c r="C70">
        <v>3</v>
      </c>
    </row>
    <row r="71" spans="1:13" x14ac:dyDescent="0.25">
      <c r="A71" s="19">
        <f t="shared" si="0"/>
        <v>53</v>
      </c>
      <c r="B71">
        <v>2</v>
      </c>
      <c r="C71">
        <v>3</v>
      </c>
    </row>
    <row r="72" spans="1:13" x14ac:dyDescent="0.25">
      <c r="A72" s="19">
        <f t="shared" si="0"/>
        <v>54</v>
      </c>
      <c r="B72">
        <v>2</v>
      </c>
      <c r="C72">
        <v>3</v>
      </c>
    </row>
    <row r="73" spans="1:13" x14ac:dyDescent="0.25">
      <c r="A73" s="19">
        <f t="shared" si="0"/>
        <v>55</v>
      </c>
      <c r="B73">
        <v>2</v>
      </c>
      <c r="C73">
        <v>3</v>
      </c>
    </row>
    <row r="74" spans="1:13" x14ac:dyDescent="0.25">
      <c r="A74" s="19">
        <f t="shared" si="0"/>
        <v>56</v>
      </c>
      <c r="B74">
        <v>2</v>
      </c>
      <c r="C74">
        <v>3</v>
      </c>
    </row>
    <row r="75" spans="1:13" x14ac:dyDescent="0.25">
      <c r="A75" s="19">
        <f t="shared" si="0"/>
        <v>57</v>
      </c>
      <c r="B75">
        <v>2</v>
      </c>
      <c r="C75">
        <v>3</v>
      </c>
    </row>
    <row r="76" spans="1:13" x14ac:dyDescent="0.25">
      <c r="A76" s="19">
        <f t="shared" si="0"/>
        <v>58</v>
      </c>
      <c r="B76">
        <v>2</v>
      </c>
      <c r="C76">
        <v>3</v>
      </c>
    </row>
    <row r="77" spans="1:13" x14ac:dyDescent="0.25">
      <c r="A77" s="19">
        <f t="shared" si="0"/>
        <v>59</v>
      </c>
      <c r="B77">
        <v>2</v>
      </c>
      <c r="C77">
        <v>3</v>
      </c>
    </row>
    <row r="78" spans="1:13" x14ac:dyDescent="0.25">
      <c r="A78" s="19">
        <f t="shared" si="0"/>
        <v>60</v>
      </c>
      <c r="C78">
        <v>1</v>
      </c>
    </row>
    <row r="79" spans="1:13" x14ac:dyDescent="0.25">
      <c r="A79" s="19">
        <f t="shared" si="0"/>
        <v>61</v>
      </c>
      <c r="C79">
        <v>2</v>
      </c>
    </row>
    <row r="80" spans="1:13" x14ac:dyDescent="0.25">
      <c r="A80" s="19">
        <f t="shared" si="0"/>
        <v>62</v>
      </c>
      <c r="C80">
        <v>3</v>
      </c>
    </row>
    <row r="81" spans="1:8" x14ac:dyDescent="0.25">
      <c r="A81" s="11" t="s">
        <v>10</v>
      </c>
      <c r="B81" s="6"/>
      <c r="C81" s="6"/>
      <c r="D81" s="6"/>
      <c r="E81" s="6"/>
      <c r="G81" t="s">
        <v>29</v>
      </c>
      <c r="H81" t="s">
        <v>35</v>
      </c>
    </row>
    <row r="82" spans="1:8" x14ac:dyDescent="0.25">
      <c r="A82" s="20" t="s">
        <v>14</v>
      </c>
      <c r="B82" s="20">
        <v>1</v>
      </c>
      <c r="C82" s="20">
        <v>1</v>
      </c>
      <c r="D82" s="20"/>
      <c r="E82" s="6"/>
      <c r="G82" t="s">
        <v>30</v>
      </c>
      <c r="H82" t="s">
        <v>36</v>
      </c>
    </row>
    <row r="83" spans="1:8" x14ac:dyDescent="0.25">
      <c r="A83" s="20" t="s">
        <v>11</v>
      </c>
      <c r="B83" s="20">
        <v>4</v>
      </c>
      <c r="C83" s="20">
        <v>4</v>
      </c>
      <c r="D83" s="20"/>
      <c r="E83" s="7"/>
    </row>
    <row r="84" spans="1:8" x14ac:dyDescent="0.25">
      <c r="A84" s="20" t="s">
        <v>4</v>
      </c>
      <c r="B84" s="21">
        <f>AVERAGE(B19:B77)</f>
        <v>2.3050847457627119</v>
      </c>
      <c r="C84" s="21">
        <f>AVERAGE(C19:C80)</f>
        <v>2.870967741935484</v>
      </c>
      <c r="D84" s="21"/>
      <c r="E84" s="10"/>
    </row>
    <row r="85" spans="1:8" x14ac:dyDescent="0.25">
      <c r="A85" s="20" t="s">
        <v>5</v>
      </c>
      <c r="B85" s="21">
        <f>STDEV(B19:B77)</f>
        <v>0.46439568770962547</v>
      </c>
      <c r="C85" s="21">
        <f>STDEV(C19:C80)</f>
        <v>0.4240271785188845</v>
      </c>
      <c r="D85" s="21"/>
      <c r="E85" s="10"/>
    </row>
    <row r="86" spans="1:8" x14ac:dyDescent="0.25">
      <c r="A86" s="20"/>
      <c r="B86" s="20"/>
      <c r="C86" s="20"/>
      <c r="D86" s="20"/>
      <c r="E86" s="6"/>
    </row>
    <row r="87" spans="1:8" x14ac:dyDescent="0.25">
      <c r="A87" s="20"/>
      <c r="B87" s="20"/>
      <c r="C87" s="20"/>
      <c r="D87" s="20"/>
      <c r="E87" s="6"/>
    </row>
    <row r="88" spans="1:8" x14ac:dyDescent="0.25">
      <c r="A88" s="20"/>
      <c r="B88" s="20"/>
      <c r="C88" s="20"/>
      <c r="D88" s="20"/>
      <c r="E88" s="6"/>
    </row>
    <row r="89" spans="1:8" x14ac:dyDescent="0.25">
      <c r="A89" s="20"/>
      <c r="B89" s="20"/>
      <c r="C89" s="20"/>
      <c r="D89" s="20"/>
      <c r="E89" s="6"/>
    </row>
    <row r="90" spans="1:8" x14ac:dyDescent="0.25">
      <c r="A90" s="20"/>
      <c r="B90" s="20"/>
      <c r="C90" s="20"/>
      <c r="D90" s="20"/>
      <c r="E90" s="6"/>
    </row>
    <row r="92" spans="1:8" x14ac:dyDescent="0.25">
      <c r="A92" s="12" t="s">
        <v>9</v>
      </c>
      <c r="B92" s="8"/>
      <c r="C92" s="8"/>
      <c r="D92" s="8"/>
      <c r="E92" s="8"/>
      <c r="F92" s="8"/>
    </row>
    <row r="93" spans="1:8" x14ac:dyDescent="0.25">
      <c r="A93" s="8" t="s">
        <v>0</v>
      </c>
      <c r="B93" s="8">
        <v>4</v>
      </c>
      <c r="C93" s="8"/>
      <c r="D93" s="8"/>
      <c r="E93" s="8"/>
      <c r="F93" s="8"/>
    </row>
    <row r="94" spans="1:8" x14ac:dyDescent="0.25">
      <c r="A94" s="8" t="s">
        <v>7</v>
      </c>
      <c r="B94" s="9">
        <f>AVERAGE(B84:C84)</f>
        <v>2.588026243849098</v>
      </c>
      <c r="C94" s="9"/>
      <c r="D94" s="9"/>
      <c r="E94" s="9"/>
      <c r="F94" s="9"/>
    </row>
    <row r="95" spans="1:8" x14ac:dyDescent="0.25">
      <c r="A95" s="8" t="s">
        <v>8</v>
      </c>
      <c r="B95" s="9">
        <f>_xlfn.STDEV.P(B84:C84)</f>
        <v>0.28294149808638747</v>
      </c>
      <c r="C95" s="9"/>
      <c r="D95" s="9"/>
      <c r="E95" s="9"/>
      <c r="F95" s="9"/>
    </row>
    <row r="142" spans="1:18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</row>
    <row r="143" spans="1:18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 spans="1:18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 spans="1:18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 spans="1:18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 spans="1:18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spans="1:18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 spans="1:18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spans="1:18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</row>
    <row r="151" spans="1:18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spans="1:18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 spans="1:18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 spans="1:18" x14ac:dyDescent="0.25">
      <c r="A154" s="4"/>
      <c r="B154" s="4"/>
      <c r="C154" s="4"/>
      <c r="D154" s="4"/>
      <c r="E154" s="4"/>
      <c r="F154" s="4"/>
      <c r="G154" s="4"/>
      <c r="H154" s="13"/>
      <c r="I154" s="13"/>
      <c r="J154" s="13"/>
      <c r="K154" s="13"/>
      <c r="L154" s="13"/>
      <c r="M154" s="13"/>
      <c r="N154" s="4"/>
      <c r="O154" s="4"/>
      <c r="P154" s="4"/>
      <c r="Q154" s="4"/>
      <c r="R154" s="4"/>
    </row>
    <row r="155" spans="1:18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 spans="1:18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 spans="1:18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 spans="1:18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spans="1:18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spans="1:18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 spans="1:18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spans="1:18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 spans="1:18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spans="1:18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spans="1:18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 spans="1:18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spans="1:18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 spans="1:18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spans="1:18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spans="1:18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 spans="1:18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spans="1:18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 spans="1:18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 spans="1:18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 spans="1:18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spans="1:18" x14ac:dyDescent="0.25">
      <c r="A176" s="4"/>
      <c r="B176" s="1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 spans="1:18" x14ac:dyDescent="0.25">
      <c r="A177" s="4"/>
      <c r="B177" s="1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 spans="1:18" x14ac:dyDescent="0.25">
      <c r="A178" s="4"/>
      <c r="B178" s="1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 spans="1:18" x14ac:dyDescent="0.25">
      <c r="A179" s="4"/>
      <c r="B179" s="1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 spans="1:18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 spans="1:18" x14ac:dyDescent="0.25">
      <c r="A181" s="15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 spans="1:18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 spans="1:18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 spans="1:18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 spans="1:18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spans="1:18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 spans="1:18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spans="1:18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spans="1:18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 spans="1:18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spans="1:18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 spans="1:18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 spans="1:18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spans="1:18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 spans="1:18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 spans="1:18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 spans="1:18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 spans="1:18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 spans="1:18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spans="1:18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 spans="1:18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 spans="1:18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 spans="1:18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 spans="1:18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spans="1:18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 spans="1:18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spans="1:18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 spans="1:18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 spans="1:18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 spans="1:18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 spans="1:18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spans="1:18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 spans="1:18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 spans="1:18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spans="1:18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 spans="1:18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 spans="1:18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spans="1:18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spans="1:18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spans="1:18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 spans="1:18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 spans="1:18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 spans="1:18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 spans="1:18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 spans="1:18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 spans="1:18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 spans="1:18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 spans="1:18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</row>
    <row r="229" spans="1:18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 spans="1:18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 spans="1:18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</row>
    <row r="232" spans="1:18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3" spans="1:18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 spans="1:18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 spans="1:18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 spans="1:18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</row>
    <row r="237" spans="1:18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 spans="1:18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</row>
    <row r="239" spans="1:18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</row>
    <row r="240" spans="1:18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 spans="1:18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 spans="1:18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 spans="1:18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 spans="1:18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 spans="1:18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 spans="1:18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 spans="1:18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 spans="1:18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</row>
    <row r="249" spans="1:18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 spans="1:18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 spans="1:18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 spans="1:18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  <row r="253" spans="1:18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 spans="1:18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</row>
    <row r="255" spans="1:18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</row>
    <row r="256" spans="1:18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</row>
  </sheetData>
  <sortState xmlns:xlrd2="http://schemas.microsoft.com/office/spreadsheetml/2017/richdata2" ref="D19:D39">
    <sortCondition ref="D19:D39"/>
  </sortState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Zdunek</cp:lastModifiedBy>
  <dcterms:created xsi:type="dcterms:W3CDTF">2013-01-15T05:38:26Z</dcterms:created>
  <dcterms:modified xsi:type="dcterms:W3CDTF">2020-03-02T22:02:27Z</dcterms:modified>
</cp:coreProperties>
</file>