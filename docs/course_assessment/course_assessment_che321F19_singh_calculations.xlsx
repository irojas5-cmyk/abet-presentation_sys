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nesh\Documents\Meenesh\UIC\Teaching\ABET Assesment 2020\"/>
    </mc:Choice>
  </mc:AlternateContent>
  <xr:revisionPtr revIDLastSave="0" documentId="13_ncr:1_{46DF7A80-890A-4EB5-9238-50533D442847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5" i="1" l="1"/>
  <c r="D45" i="1"/>
  <c r="C46" i="1"/>
  <c r="D46" i="1"/>
  <c r="C47" i="1"/>
  <c r="D47" i="1"/>
  <c r="B47" i="1"/>
  <c r="B46" i="1"/>
  <c r="B45" i="1"/>
  <c r="D42" i="1" l="1"/>
  <c r="B52" i="1" s="1"/>
  <c r="C42" i="1"/>
  <c r="B42" i="1"/>
  <c r="B53" i="1" s="1"/>
  <c r="C48" i="1" l="1"/>
  <c r="D48" i="1"/>
  <c r="B48" i="1"/>
  <c r="C43" i="1" l="1"/>
  <c r="D43" i="1"/>
  <c r="B43" i="1"/>
</calcChain>
</file>

<file path=xl/sharedStrings.xml><?xml version="1.0" encoding="utf-8"?>
<sst xmlns="http://schemas.openxmlformats.org/spreadsheetml/2006/main" count="59" uniqueCount="49">
  <si>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</si>
  <si>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</si>
  <si>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</si>
  <si>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</si>
  <si>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</si>
  <si>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</si>
  <si>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</si>
  <si>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</si>
  <si>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</si>
  <si>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</si>
  <si>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</si>
  <si>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</si>
  <si>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</si>
  <si>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</si>
  <si>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</si>
  <si>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</si>
  <si>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</si>
  <si>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</si>
  <si>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</si>
  <si>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</si>
  <si>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</si>
  <si>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&lt;3</t>
  </si>
  <si>
    <t>&lt;10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</si>
  <si>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</si>
  <si>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</si>
  <si>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</si>
  <si>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</si>
  <si>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</si>
  <si>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</si>
  <si>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</si>
  <si>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</si>
  <si>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</si>
  <si>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</si>
  <si>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</si>
  <si>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</si>
  <si>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</si>
  <si>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</si>
  <si>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</si>
  <si>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CHE 321 Fall 2019</t>
  </si>
  <si>
    <t>Chemical Reaction Engineering</t>
  </si>
  <si>
    <t>Assessment rubric: Computer exam,  Problem 1</t>
  </si>
  <si>
    <t>Prepared by M. R. Singh</t>
  </si>
  <si>
    <t>Analysis of Results</t>
  </si>
  <si>
    <t>MATLAB Implementation</t>
  </si>
  <si>
    <t>Using ODE Solvers</t>
  </si>
  <si>
    <t>10 to 15</t>
  </si>
  <si>
    <t>&gt;15</t>
  </si>
  <si>
    <t>3 to 6</t>
  </si>
  <si>
    <t>&gt;6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</si>
</sst>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2"/>
  <sheetViews>
    <sheetView tabSelected="1" workbookViewId="0">
      <selection activeCell="B52" sqref="B52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8" max="8" width="9.140625" customWidth="1"/>
    <col min="9" max="9" width="22.425781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38</v>
      </c>
      <c r="F1" s="1" t="s">
        <v>25</v>
      </c>
    </row>
    <row r="2" spans="1:22" ht="15.75" x14ac:dyDescent="0.25">
      <c r="A2" s="1" t="s">
        <v>39</v>
      </c>
      <c r="F2" s="25" t="s">
        <v>24</v>
      </c>
    </row>
    <row r="3" spans="1:22" x14ac:dyDescent="0.25">
      <c r="A3" s="1" t="s">
        <v>31</v>
      </c>
      <c r="F3" t="s">
        <v>26</v>
      </c>
    </row>
    <row r="4" spans="1:22" x14ac:dyDescent="0.25">
      <c r="A4" s="3" t="s">
        <v>40</v>
      </c>
      <c r="B4" s="3"/>
      <c r="C4" s="3"/>
      <c r="D4" s="3"/>
    </row>
    <row r="5" spans="1:22" x14ac:dyDescent="0.25">
      <c r="A5" s="3" t="s">
        <v>41</v>
      </c>
      <c r="B5" s="3"/>
      <c r="C5" s="3"/>
      <c r="D5" s="3"/>
      <c r="E5" s="3"/>
      <c r="F5" s="1" t="s">
        <v>27</v>
      </c>
      <c r="G5" s="3"/>
    </row>
    <row r="6" spans="1:22" x14ac:dyDescent="0.25">
      <c r="A6" s="3"/>
      <c r="B6" s="3"/>
      <c r="C6" s="3"/>
      <c r="D6" s="3"/>
      <c r="E6" s="3"/>
      <c r="F6" s="3" t="s">
        <v>28</v>
      </c>
      <c r="G6" s="3"/>
    </row>
    <row r="7" spans="1:22" x14ac:dyDescent="0.25">
      <c r="A7" s="3"/>
      <c r="F7" t="s">
        <v>29</v>
      </c>
    </row>
    <row r="8" spans="1:22" x14ac:dyDescent="0.25">
      <c r="F8" t="s">
        <v>30</v>
      </c>
    </row>
    <row r="9" spans="1:22" x14ac:dyDescent="0.25">
      <c r="A9" s="16" t="s">
        <v>16</v>
      </c>
      <c r="B9" s="5"/>
      <c r="C9" s="5"/>
      <c r="F9" t="s">
        <v>34</v>
      </c>
    </row>
    <row r="10" spans="1:22" x14ac:dyDescent="0.25">
      <c r="A10" s="5">
        <v>1</v>
      </c>
      <c r="B10" s="5" t="s">
        <v>1</v>
      </c>
      <c r="C10" s="5"/>
      <c r="F10" t="s">
        <v>35</v>
      </c>
    </row>
    <row r="11" spans="1:22" x14ac:dyDescent="0.25">
      <c r="A11" s="5">
        <v>2</v>
      </c>
      <c r="B11" s="5" t="s">
        <v>2</v>
      </c>
      <c r="C11" s="5"/>
      <c r="F11" t="s">
        <v>36</v>
      </c>
    </row>
    <row r="12" spans="1:22" x14ac:dyDescent="0.25">
      <c r="A12" s="5">
        <v>3</v>
      </c>
      <c r="B12" s="5" t="s">
        <v>3</v>
      </c>
      <c r="C12" s="5"/>
      <c r="F12" t="s">
        <v>37</v>
      </c>
    </row>
    <row r="13" spans="1:22" x14ac:dyDescent="0.25">
      <c r="A13" s="5"/>
      <c r="B13" s="5"/>
      <c r="C13" s="5"/>
      <c r="V13" t="s">
        <v>33</v>
      </c>
    </row>
    <row r="14" spans="1:22" x14ac:dyDescent="0.25">
      <c r="H14" t="s">
        <v>19</v>
      </c>
    </row>
    <row r="15" spans="1:22" x14ac:dyDescent="0.25">
      <c r="A15" s="17" t="s">
        <v>32</v>
      </c>
      <c r="B15" s="17">
        <v>2</v>
      </c>
      <c r="C15" s="17">
        <v>4</v>
      </c>
      <c r="D15" s="17">
        <v>6</v>
      </c>
      <c r="E15" s="17"/>
      <c r="H15" s="22" t="s">
        <v>20</v>
      </c>
      <c r="I15" s="22" t="s">
        <v>18</v>
      </c>
      <c r="J15" s="22" t="s">
        <v>23</v>
      </c>
      <c r="K15" s="22" t="s">
        <v>1</v>
      </c>
      <c r="L15" s="22" t="s">
        <v>2</v>
      </c>
      <c r="M15" s="22" t="s">
        <v>3</v>
      </c>
    </row>
    <row r="16" spans="1:22" x14ac:dyDescent="0.25">
      <c r="A16" s="17" t="s">
        <v>18</v>
      </c>
      <c r="B16" s="18" t="s">
        <v>43</v>
      </c>
      <c r="C16" s="18" t="s">
        <v>42</v>
      </c>
      <c r="D16" s="18" t="s">
        <v>44</v>
      </c>
      <c r="E16" s="18"/>
      <c r="F16" s="2"/>
      <c r="G16" s="2"/>
      <c r="H16" s="22">
        <v>2</v>
      </c>
      <c r="I16" s="22" t="s">
        <v>43</v>
      </c>
      <c r="J16" s="22">
        <v>20</v>
      </c>
      <c r="K16" s="23" t="s">
        <v>22</v>
      </c>
      <c r="L16" s="24" t="s">
        <v>45</v>
      </c>
      <c r="M16" s="23" t="s">
        <v>46</v>
      </c>
    </row>
    <row r="17" spans="1:13" x14ac:dyDescent="0.25">
      <c r="B17" s="2"/>
      <c r="H17" s="22">
        <v>4</v>
      </c>
      <c r="I17" s="22" t="s">
        <v>42</v>
      </c>
      <c r="J17" s="22">
        <v>10</v>
      </c>
      <c r="K17" s="23" t="s">
        <v>21</v>
      </c>
      <c r="L17" s="24" t="s">
        <v>47</v>
      </c>
      <c r="M17" s="23" t="s">
        <v>48</v>
      </c>
    </row>
    <row r="18" spans="1:13" x14ac:dyDescent="0.25">
      <c r="A18" t="s">
        <v>6</v>
      </c>
      <c r="B18" s="2"/>
      <c r="H18" s="22">
        <v>6</v>
      </c>
      <c r="I18" s="22" t="s">
        <v>44</v>
      </c>
      <c r="J18" s="22">
        <v>20</v>
      </c>
      <c r="K18" s="23" t="s">
        <v>22</v>
      </c>
      <c r="L18" s="24" t="s">
        <v>45</v>
      </c>
      <c r="M18" s="23" t="s">
        <v>46</v>
      </c>
    </row>
    <row r="19" spans="1:13" x14ac:dyDescent="0.25">
      <c r="A19" s="19">
        <v>1</v>
      </c>
      <c r="B19" s="19">
        <v>3</v>
      </c>
      <c r="C19" s="19">
        <v>3</v>
      </c>
      <c r="D19" s="19">
        <v>3</v>
      </c>
    </row>
    <row r="20" spans="1:13" x14ac:dyDescent="0.25">
      <c r="A20" s="19">
        <v>2</v>
      </c>
      <c r="B20" s="19">
        <v>2</v>
      </c>
      <c r="C20" s="19">
        <v>2</v>
      </c>
      <c r="D20" s="19">
        <v>1</v>
      </c>
    </row>
    <row r="21" spans="1:13" x14ac:dyDescent="0.25">
      <c r="A21" s="19">
        <v>3</v>
      </c>
      <c r="B21" s="19">
        <v>3</v>
      </c>
      <c r="C21" s="19">
        <v>2</v>
      </c>
      <c r="D21" s="19">
        <v>3</v>
      </c>
    </row>
    <row r="22" spans="1:13" x14ac:dyDescent="0.25">
      <c r="A22" s="19">
        <v>4</v>
      </c>
      <c r="B22" s="19">
        <v>2</v>
      </c>
      <c r="C22" s="19">
        <v>3</v>
      </c>
      <c r="D22" s="19">
        <v>2</v>
      </c>
    </row>
    <row r="23" spans="1:13" x14ac:dyDescent="0.25">
      <c r="A23" s="19">
        <v>5</v>
      </c>
      <c r="B23" s="19">
        <v>3</v>
      </c>
      <c r="C23" s="19">
        <v>1</v>
      </c>
      <c r="D23" s="19">
        <v>2</v>
      </c>
    </row>
    <row r="24" spans="1:13" x14ac:dyDescent="0.25">
      <c r="A24" s="19">
        <v>6</v>
      </c>
      <c r="B24" s="19">
        <v>3</v>
      </c>
      <c r="C24" s="19">
        <v>1</v>
      </c>
      <c r="D24" s="19">
        <v>3</v>
      </c>
    </row>
    <row r="25" spans="1:13" x14ac:dyDescent="0.25">
      <c r="A25" s="19">
        <v>7</v>
      </c>
      <c r="B25" s="19">
        <v>3</v>
      </c>
      <c r="C25" s="19">
        <v>2</v>
      </c>
      <c r="D25" s="19">
        <v>2</v>
      </c>
    </row>
    <row r="26" spans="1:13" x14ac:dyDescent="0.25">
      <c r="A26" s="19">
        <v>8</v>
      </c>
      <c r="B26" s="19">
        <v>3</v>
      </c>
      <c r="C26" s="19">
        <v>3</v>
      </c>
      <c r="D26" s="19">
        <v>2</v>
      </c>
    </row>
    <row r="27" spans="1:13" x14ac:dyDescent="0.25">
      <c r="A27" s="19">
        <v>9</v>
      </c>
      <c r="B27" s="19">
        <v>3</v>
      </c>
      <c r="C27" s="19">
        <v>1</v>
      </c>
      <c r="D27" s="19">
        <v>2</v>
      </c>
    </row>
    <row r="28" spans="1:13" x14ac:dyDescent="0.25">
      <c r="A28" s="19">
        <v>10</v>
      </c>
      <c r="B28" s="19">
        <v>3</v>
      </c>
      <c r="C28" s="19">
        <v>1</v>
      </c>
      <c r="D28" s="19">
        <v>2</v>
      </c>
    </row>
    <row r="29" spans="1:13" x14ac:dyDescent="0.25">
      <c r="A29" s="19">
        <v>11</v>
      </c>
      <c r="B29" s="19">
        <v>1</v>
      </c>
      <c r="C29" s="19">
        <v>1</v>
      </c>
      <c r="D29" s="19">
        <v>1</v>
      </c>
    </row>
    <row r="30" spans="1:13" x14ac:dyDescent="0.25">
      <c r="A30" s="19">
        <v>12</v>
      </c>
      <c r="B30" s="19">
        <v>2</v>
      </c>
      <c r="C30" s="19">
        <v>1</v>
      </c>
      <c r="D30" s="19">
        <v>2</v>
      </c>
    </row>
    <row r="31" spans="1:13" x14ac:dyDescent="0.25">
      <c r="A31" s="19">
        <v>13</v>
      </c>
      <c r="B31" s="19">
        <v>3</v>
      </c>
      <c r="C31" s="19">
        <v>2</v>
      </c>
      <c r="D31" s="19">
        <v>2</v>
      </c>
    </row>
    <row r="32" spans="1:13" x14ac:dyDescent="0.25">
      <c r="A32" s="19">
        <v>14</v>
      </c>
      <c r="B32" s="19">
        <v>2</v>
      </c>
      <c r="C32" s="19">
        <v>1</v>
      </c>
      <c r="D32" s="19">
        <v>2</v>
      </c>
    </row>
    <row r="33" spans="1:5" x14ac:dyDescent="0.25">
      <c r="A33" s="19">
        <v>15</v>
      </c>
      <c r="B33" s="19">
        <v>3</v>
      </c>
      <c r="C33" s="19">
        <v>2</v>
      </c>
      <c r="D33" s="19">
        <v>3</v>
      </c>
    </row>
    <row r="34" spans="1:5" x14ac:dyDescent="0.25">
      <c r="A34" s="19">
        <v>16</v>
      </c>
      <c r="B34" s="19">
        <v>2</v>
      </c>
      <c r="C34" s="19">
        <v>2</v>
      </c>
      <c r="D34" s="19">
        <v>2</v>
      </c>
    </row>
    <row r="35" spans="1:5" x14ac:dyDescent="0.25">
      <c r="A35" s="19">
        <v>17</v>
      </c>
      <c r="B35" s="19">
        <v>3</v>
      </c>
      <c r="C35" s="19">
        <v>2</v>
      </c>
      <c r="D35" s="19">
        <v>3</v>
      </c>
    </row>
    <row r="36" spans="1:5" x14ac:dyDescent="0.25">
      <c r="A36" s="19">
        <v>18</v>
      </c>
      <c r="B36" s="19">
        <v>3</v>
      </c>
      <c r="C36" s="19">
        <v>3</v>
      </c>
      <c r="D36" s="19">
        <v>3</v>
      </c>
    </row>
    <row r="37" spans="1:5" x14ac:dyDescent="0.25">
      <c r="B37" s="2"/>
    </row>
    <row r="39" spans="1:5" x14ac:dyDescent="0.25">
      <c r="A39" s="11" t="s">
        <v>14</v>
      </c>
      <c r="B39" s="6"/>
      <c r="C39" s="6"/>
      <c r="D39" s="6"/>
      <c r="E39" s="6"/>
    </row>
    <row r="40" spans="1:5" x14ac:dyDescent="0.25">
      <c r="A40" s="20" t="s">
        <v>17</v>
      </c>
      <c r="B40" s="20">
        <v>1</v>
      </c>
      <c r="C40" s="20">
        <v>2</v>
      </c>
      <c r="D40" s="20">
        <v>3</v>
      </c>
      <c r="E40" s="6"/>
    </row>
    <row r="41" spans="1:5" x14ac:dyDescent="0.25">
      <c r="A41" s="20" t="s">
        <v>15</v>
      </c>
      <c r="B41" s="20">
        <v>1</v>
      </c>
      <c r="C41" s="20">
        <v>1</v>
      </c>
      <c r="D41" s="20">
        <v>1</v>
      </c>
      <c r="E41" s="7"/>
    </row>
    <row r="42" spans="1:5" x14ac:dyDescent="0.25">
      <c r="A42" s="20" t="s">
        <v>4</v>
      </c>
      <c r="B42" s="21">
        <f>AVERAGE(B19:B36)</f>
        <v>2.6111111111111112</v>
      </c>
      <c r="C42" s="21">
        <f>AVERAGE(C19:C36)</f>
        <v>1.8333333333333333</v>
      </c>
      <c r="D42" s="21">
        <f>AVERAGE(D19:D36)</f>
        <v>2.2222222222222223</v>
      </c>
      <c r="E42" s="10"/>
    </row>
    <row r="43" spans="1:5" x14ac:dyDescent="0.25">
      <c r="A43" s="20" t="s">
        <v>5</v>
      </c>
      <c r="B43" s="21">
        <f>STDEV(B19:B37)</f>
        <v>0.60768498891418543</v>
      </c>
      <c r="C43" s="21">
        <f>STDEV(C19:C37)</f>
        <v>0.7859052479933758</v>
      </c>
      <c r="D43" s="21">
        <f>STDEV(D19:D37)</f>
        <v>0.64676166676355473</v>
      </c>
      <c r="E43" s="10"/>
    </row>
    <row r="44" spans="1:5" x14ac:dyDescent="0.25">
      <c r="A44" s="20"/>
      <c r="B44" s="20"/>
      <c r="C44" s="20"/>
      <c r="D44" s="20"/>
      <c r="E44" s="6"/>
    </row>
    <row r="45" spans="1:5" x14ac:dyDescent="0.25">
      <c r="A45" s="20" t="s">
        <v>9</v>
      </c>
      <c r="B45" s="20">
        <f>COUNTIF(B19:B36,3)</f>
        <v>12</v>
      </c>
      <c r="C45" s="20">
        <f t="shared" ref="C45:D45" si="0">COUNTIF(C19:C36,3)</f>
        <v>4</v>
      </c>
      <c r="D45" s="20">
        <f t="shared" si="0"/>
        <v>6</v>
      </c>
      <c r="E45" s="6"/>
    </row>
    <row r="46" spans="1:5" x14ac:dyDescent="0.25">
      <c r="A46" s="20" t="s">
        <v>10</v>
      </c>
      <c r="B46" s="20">
        <f>COUNTIF(B19:B36,2)</f>
        <v>5</v>
      </c>
      <c r="C46" s="20">
        <f t="shared" ref="C46:D46" si="1">COUNTIF(C19:C36,2)</f>
        <v>7</v>
      </c>
      <c r="D46" s="20">
        <f t="shared" si="1"/>
        <v>10</v>
      </c>
      <c r="E46" s="6"/>
    </row>
    <row r="47" spans="1:5" x14ac:dyDescent="0.25">
      <c r="A47" s="20" t="s">
        <v>7</v>
      </c>
      <c r="B47" s="20">
        <f>COUNTIF(B19:B36,1)</f>
        <v>1</v>
      </c>
      <c r="C47" s="20">
        <f t="shared" ref="C47:D47" si="2">COUNTIF(C19:C36,1)</f>
        <v>7</v>
      </c>
      <c r="D47" s="20">
        <f t="shared" si="2"/>
        <v>2</v>
      </c>
      <c r="E47" s="6"/>
    </row>
    <row r="48" spans="1:5" x14ac:dyDescent="0.25">
      <c r="A48" s="20" t="s">
        <v>8</v>
      </c>
      <c r="B48" s="20">
        <f>SUM(B44:B47)</f>
        <v>18</v>
      </c>
      <c r="C48" s="20">
        <f t="shared" ref="C48:D48" si="3">SUM(C44:C47)</f>
        <v>18</v>
      </c>
      <c r="D48" s="20">
        <f t="shared" si="3"/>
        <v>18</v>
      </c>
      <c r="E48" s="6"/>
    </row>
    <row r="50" spans="1:7" x14ac:dyDescent="0.25">
      <c r="A50" s="12" t="s">
        <v>13</v>
      </c>
      <c r="B50" s="8"/>
      <c r="C50" s="8"/>
      <c r="D50" s="8"/>
      <c r="E50" s="8"/>
      <c r="F50" s="8"/>
    </row>
    <row r="51" spans="1:7" x14ac:dyDescent="0.25">
      <c r="A51" s="8" t="s">
        <v>0</v>
      </c>
      <c r="B51" s="8">
        <v>1</v>
      </c>
      <c r="C51" s="8"/>
      <c r="D51" s="8"/>
      <c r="E51" s="8"/>
      <c r="F51" s="8"/>
    </row>
    <row r="52" spans="1:7" x14ac:dyDescent="0.25">
      <c r="A52" s="8" t="s">
        <v>11</v>
      </c>
      <c r="B52" s="9">
        <f>AVERAGE(B42:D42)</f>
        <v>2.2222222222222223</v>
      </c>
      <c r="C52" s="9"/>
      <c r="D52" s="9"/>
      <c r="E52" s="9"/>
      <c r="F52" s="9"/>
    </row>
    <row r="53" spans="1:7" x14ac:dyDescent="0.25">
      <c r="A53" s="8" t="s">
        <v>12</v>
      </c>
      <c r="B53" s="9">
        <f>_xlfn.STDEV.P(B42:D42)</f>
        <v>0.31752644813855968</v>
      </c>
      <c r="C53" s="9"/>
      <c r="D53" s="9"/>
      <c r="E53" s="9"/>
      <c r="F53" s="9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5" spans="9:13" x14ac:dyDescent="0.25">
      <c r="I65" s="2"/>
      <c r="J65" s="2"/>
      <c r="K65" s="2"/>
      <c r="L65" s="2"/>
      <c r="M65" s="2"/>
    </row>
    <row r="138" spans="1:18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13"/>
      <c r="I150" s="13"/>
      <c r="J150" s="13"/>
      <c r="K150" s="13"/>
      <c r="L150" s="13"/>
      <c r="M150" s="13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1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</sheetData>
  <sortState xmlns:xlrd2="http://schemas.microsoft.com/office/spreadsheetml/2017/richdata2" ref="D19:D36">
    <sortCondition ref="D19:D36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Meenesh</cp:lastModifiedBy>
  <dcterms:created xsi:type="dcterms:W3CDTF">2013-01-15T05:38:26Z</dcterms:created>
  <dcterms:modified xsi:type="dcterms:W3CDTF">2020-04-18T13:59:18Z</dcterms:modified>
</cp:coreProperties>
</file>