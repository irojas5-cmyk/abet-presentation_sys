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_20200124_180000\documents\ABET\ABET 2020\"/>
    </mc:Choice>
  </mc:AlternateContent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5" i="1" l="1"/>
  <c r="D45" i="1" l="1"/>
  <c r="C45" i="1"/>
  <c r="B55" i="1" l="1"/>
  <c r="B56" i="1"/>
  <c r="C51" i="1"/>
  <c r="D51" i="1"/>
  <c r="B51" i="1"/>
  <c r="C46" i="1" l="1"/>
  <c r="D46" i="1"/>
  <c r="B46" i="1"/>
</calcChain>
</file>

<file path=xl/sharedStrings.xml><?xml version="1.0" encoding="utf-8"?>
<sst xmlns="http://schemas.openxmlformats.org/spreadsheetml/2006/main" count="37" uniqueCount="37">
  <si>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</si>
  <si>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</si>
  <si>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</si>
  <si>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</si>
  <si>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</si>
  <si>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</si>
  <si>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</si>
  <si>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</si>
  <si>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</si>
  <si>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</si>
  <si>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</si>
  <si>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</si>
  <si>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</si>
  <si>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</si>
  <si>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</si>
  <si>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</si>
  <si>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</si>
  <si>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</si>
  <si>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</si>
  <si>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</si>
  <si>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</si>
  <si>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</si>
  <si>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</si>
  <si>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</si>
  <si>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</si>
  <si>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</si>
  <si>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</si>
  <si>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</si>
  <si>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</si>
  <si>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</si>
  <si>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</si>
  <si>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</si>
  <si>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 xml:space="preserve"> </t>
  </si>
  <si>
    <t>Material and Energy Balances</t>
  </si>
  <si>
    <t>Assessment rubric: Final exam,  Problem 1</t>
  </si>
  <si>
    <t>Prepared by L.E. Wedgewood</t>
  </si>
  <si>
    <t>CHE 210 Fall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</si>
</sst>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5"/>
  <sheetViews>
    <sheetView tabSelected="1" workbookViewId="0">
      <selection activeCell="L19" sqref="L19"/>
    </sheetView>
  </sheetViews>
  <sheetFormatPr defaultRowHeight="15" x14ac:dyDescent="0.25"/>
  <cols>
    <col min="1" max="1" width="27.7109375" customWidth="1"/>
    <col min="2" max="2" width="11.5703125" customWidth="1"/>
    <col min="3" max="3" width="11" customWidth="1"/>
    <col min="8" max="8" width="9.140625" customWidth="1"/>
    <col min="11" max="11" width="16" customWidth="1"/>
    <col min="12" max="12" width="17.42578125" customWidth="1"/>
    <col min="13" max="13" width="16.140625" customWidth="1"/>
    <col min="15" max="15" width="9.140625" customWidth="1"/>
  </cols>
  <sheetData>
    <row r="1" spans="1:22" x14ac:dyDescent="0.25">
      <c r="A1" s="1" t="s">
        <v>36</v>
      </c>
      <c r="F1" s="1" t="s">
        <v>19</v>
      </c>
    </row>
    <row r="2" spans="1:22" ht="15.75" x14ac:dyDescent="0.25">
      <c r="A2" s="1" t="s">
        <v>33</v>
      </c>
      <c r="F2" s="22" t="s">
        <v>18</v>
      </c>
    </row>
    <row r="3" spans="1:22" x14ac:dyDescent="0.25">
      <c r="A3" s="1" t="s">
        <v>25</v>
      </c>
      <c r="F3" t="s">
        <v>20</v>
      </c>
    </row>
    <row r="4" spans="1:22" x14ac:dyDescent="0.25">
      <c r="A4" s="3" t="s">
        <v>34</v>
      </c>
      <c r="B4" s="3"/>
      <c r="C4" s="3"/>
      <c r="D4" s="3"/>
    </row>
    <row r="5" spans="1:22" x14ac:dyDescent="0.25">
      <c r="A5" s="3" t="s">
        <v>35</v>
      </c>
      <c r="B5" s="3"/>
      <c r="C5" s="3"/>
      <c r="D5" s="3"/>
      <c r="E5" s="3"/>
      <c r="F5" s="1" t="s">
        <v>21</v>
      </c>
      <c r="G5" s="3"/>
    </row>
    <row r="6" spans="1:22" x14ac:dyDescent="0.25">
      <c r="A6" s="3"/>
      <c r="B6" s="3"/>
      <c r="C6" s="3"/>
      <c r="D6" s="3"/>
      <c r="E6" s="3"/>
      <c r="F6" s="3" t="s">
        <v>22</v>
      </c>
      <c r="G6" s="3"/>
    </row>
    <row r="7" spans="1:22" x14ac:dyDescent="0.25">
      <c r="A7" s="3"/>
      <c r="F7" t="s">
        <v>23</v>
      </c>
    </row>
    <row r="8" spans="1:22" x14ac:dyDescent="0.25">
      <c r="F8" t="s">
        <v>24</v>
      </c>
    </row>
    <row r="9" spans="1:22" x14ac:dyDescent="0.25">
      <c r="A9" s="16" t="s">
        <v>16</v>
      </c>
      <c r="B9" s="5"/>
      <c r="C9" s="5"/>
      <c r="F9" t="s">
        <v>28</v>
      </c>
    </row>
    <row r="10" spans="1:22" x14ac:dyDescent="0.25">
      <c r="A10" s="5">
        <v>1</v>
      </c>
      <c r="B10" s="5" t="s">
        <v>1</v>
      </c>
      <c r="C10" s="5"/>
      <c r="F10" t="s">
        <v>29</v>
      </c>
      <c r="N10" t="s">
        <v>32</v>
      </c>
    </row>
    <row r="11" spans="1:22" x14ac:dyDescent="0.25">
      <c r="A11" s="5">
        <v>2</v>
      </c>
      <c r="B11" s="5" t="s">
        <v>2</v>
      </c>
      <c r="C11" s="5"/>
      <c r="F11" t="s">
        <v>30</v>
      </c>
    </row>
    <row r="12" spans="1:22" x14ac:dyDescent="0.25">
      <c r="A12" s="5">
        <v>3</v>
      </c>
      <c r="B12" s="5" t="s">
        <v>3</v>
      </c>
      <c r="C12" s="5"/>
      <c r="F12" t="s">
        <v>31</v>
      </c>
    </row>
    <row r="13" spans="1:22" x14ac:dyDescent="0.25">
      <c r="A13" s="5"/>
      <c r="B13" s="5"/>
      <c r="C13" s="5"/>
      <c r="V13" t="s">
        <v>27</v>
      </c>
    </row>
    <row r="15" spans="1:22" x14ac:dyDescent="0.25">
      <c r="A15" s="17" t="s">
        <v>26</v>
      </c>
      <c r="B15" s="17">
        <v>1</v>
      </c>
      <c r="C15" s="17">
        <v>2</v>
      </c>
      <c r="D15" s="17">
        <v>4</v>
      </c>
      <c r="E15" s="17"/>
    </row>
    <row r="16" spans="1:22" x14ac:dyDescent="0.25">
      <c r="A16" s="17"/>
      <c r="B16" s="18"/>
      <c r="C16" s="18"/>
      <c r="D16" s="18"/>
      <c r="E16" s="18"/>
      <c r="F16" s="2"/>
      <c r="G16" s="2"/>
    </row>
    <row r="17" spans="1:4" x14ac:dyDescent="0.25">
      <c r="B17" s="2"/>
    </row>
    <row r="18" spans="1:4" x14ac:dyDescent="0.25">
      <c r="A18" t="s">
        <v>6</v>
      </c>
      <c r="B18" s="2"/>
    </row>
    <row r="19" spans="1:4" x14ac:dyDescent="0.25">
      <c r="A19" s="19">
        <v>1</v>
      </c>
      <c r="B19" s="19">
        <v>2</v>
      </c>
      <c r="C19" s="19">
        <v>2</v>
      </c>
      <c r="D19" s="19">
        <v>2</v>
      </c>
    </row>
    <row r="20" spans="1:4" x14ac:dyDescent="0.25">
      <c r="A20" s="19">
        <v>2</v>
      </c>
      <c r="B20" s="19">
        <v>2</v>
      </c>
      <c r="C20" s="19">
        <v>2</v>
      </c>
      <c r="D20" s="19">
        <v>2</v>
      </c>
    </row>
    <row r="21" spans="1:4" x14ac:dyDescent="0.25">
      <c r="A21" s="19">
        <v>3</v>
      </c>
      <c r="B21" s="19">
        <v>1</v>
      </c>
      <c r="C21" s="19">
        <v>1</v>
      </c>
      <c r="D21" s="19">
        <v>2</v>
      </c>
    </row>
    <row r="22" spans="1:4" x14ac:dyDescent="0.25">
      <c r="A22" s="19">
        <v>4</v>
      </c>
      <c r="B22" s="19">
        <v>3</v>
      </c>
      <c r="C22" s="19">
        <v>3</v>
      </c>
      <c r="D22" s="19">
        <v>3</v>
      </c>
    </row>
    <row r="23" spans="1:4" x14ac:dyDescent="0.25">
      <c r="A23" s="19">
        <v>5</v>
      </c>
      <c r="B23" s="19">
        <v>3</v>
      </c>
      <c r="C23" s="19">
        <v>2</v>
      </c>
      <c r="D23" s="19">
        <v>2</v>
      </c>
    </row>
    <row r="24" spans="1:4" x14ac:dyDescent="0.25">
      <c r="A24" s="19">
        <v>6</v>
      </c>
      <c r="B24" s="19">
        <v>3</v>
      </c>
      <c r="C24" s="19">
        <v>3</v>
      </c>
      <c r="D24" s="19">
        <v>3</v>
      </c>
    </row>
    <row r="25" spans="1:4" x14ac:dyDescent="0.25">
      <c r="A25" s="19">
        <v>7</v>
      </c>
      <c r="B25" s="19">
        <v>4</v>
      </c>
      <c r="C25" s="19">
        <v>2</v>
      </c>
      <c r="D25" s="19">
        <v>2</v>
      </c>
    </row>
    <row r="26" spans="1:4" x14ac:dyDescent="0.25">
      <c r="A26" s="19">
        <v>8</v>
      </c>
      <c r="B26" s="19">
        <v>2</v>
      </c>
      <c r="C26" s="19">
        <v>2</v>
      </c>
      <c r="D26" s="19">
        <v>2</v>
      </c>
    </row>
    <row r="27" spans="1:4" x14ac:dyDescent="0.25">
      <c r="A27" s="19">
        <v>9</v>
      </c>
      <c r="B27" s="19">
        <v>2</v>
      </c>
      <c r="C27" s="19">
        <v>1</v>
      </c>
      <c r="D27" s="19">
        <v>2</v>
      </c>
    </row>
    <row r="28" spans="1:4" x14ac:dyDescent="0.25">
      <c r="A28" s="19">
        <v>10</v>
      </c>
      <c r="B28" s="19">
        <v>2</v>
      </c>
      <c r="C28" s="19">
        <v>2</v>
      </c>
      <c r="D28" s="19">
        <v>2</v>
      </c>
    </row>
    <row r="29" spans="1:4" x14ac:dyDescent="0.25">
      <c r="A29" s="19">
        <v>11</v>
      </c>
      <c r="B29" s="19">
        <v>2</v>
      </c>
      <c r="C29" s="19">
        <v>2</v>
      </c>
      <c r="D29" s="19">
        <v>2</v>
      </c>
    </row>
    <row r="30" spans="1:4" x14ac:dyDescent="0.25">
      <c r="A30" s="19">
        <v>12</v>
      </c>
      <c r="B30" s="19">
        <v>3</v>
      </c>
      <c r="C30" s="19">
        <v>2</v>
      </c>
      <c r="D30" s="19">
        <v>1</v>
      </c>
    </row>
    <row r="31" spans="1:4" x14ac:dyDescent="0.25">
      <c r="A31" s="19">
        <v>13</v>
      </c>
      <c r="B31" s="19">
        <v>3</v>
      </c>
      <c r="C31" s="19">
        <v>3</v>
      </c>
      <c r="D31" s="19">
        <v>3</v>
      </c>
    </row>
    <row r="32" spans="1:4" x14ac:dyDescent="0.25">
      <c r="A32" s="19">
        <v>14</v>
      </c>
      <c r="B32" s="19">
        <v>3</v>
      </c>
      <c r="C32" s="19">
        <v>2</v>
      </c>
      <c r="D32" s="19">
        <v>2</v>
      </c>
    </row>
    <row r="33" spans="1:5" x14ac:dyDescent="0.25">
      <c r="A33" s="19">
        <v>15</v>
      </c>
      <c r="B33" s="19">
        <v>3</v>
      </c>
      <c r="C33" s="19">
        <v>2</v>
      </c>
      <c r="D33" s="19">
        <v>3</v>
      </c>
    </row>
    <row r="34" spans="1:5" x14ac:dyDescent="0.25">
      <c r="A34" s="19">
        <v>16</v>
      </c>
      <c r="B34" s="19">
        <v>2</v>
      </c>
      <c r="C34" s="19">
        <v>2</v>
      </c>
      <c r="D34" s="19">
        <v>2</v>
      </c>
    </row>
    <row r="35" spans="1:5" x14ac:dyDescent="0.25">
      <c r="A35" s="19">
        <v>17</v>
      </c>
      <c r="B35" s="19">
        <v>2</v>
      </c>
      <c r="C35" s="19">
        <v>1</v>
      </c>
      <c r="D35" s="19">
        <v>2</v>
      </c>
    </row>
    <row r="36" spans="1:5" x14ac:dyDescent="0.25">
      <c r="A36" s="19">
        <v>18</v>
      </c>
      <c r="B36" s="19">
        <v>1</v>
      </c>
      <c r="C36" s="19">
        <v>2</v>
      </c>
      <c r="D36" s="19">
        <v>2</v>
      </c>
    </row>
    <row r="37" spans="1:5" x14ac:dyDescent="0.25">
      <c r="A37" s="19">
        <v>19</v>
      </c>
      <c r="B37" s="19">
        <v>3</v>
      </c>
      <c r="C37" s="19">
        <v>2</v>
      </c>
      <c r="D37" s="19">
        <v>3</v>
      </c>
    </row>
    <row r="38" spans="1:5" x14ac:dyDescent="0.25">
      <c r="A38" s="19">
        <v>20</v>
      </c>
      <c r="B38" s="19">
        <v>2</v>
      </c>
      <c r="C38" s="19">
        <v>1</v>
      </c>
      <c r="D38" s="19">
        <v>2</v>
      </c>
    </row>
    <row r="39" spans="1:5" x14ac:dyDescent="0.25">
      <c r="A39" s="19">
        <v>21</v>
      </c>
      <c r="B39" s="19">
        <v>1</v>
      </c>
      <c r="C39" s="19">
        <v>1</v>
      </c>
      <c r="D39" s="19">
        <v>2</v>
      </c>
    </row>
    <row r="40" spans="1:5" x14ac:dyDescent="0.25">
      <c r="B40" s="2"/>
    </row>
    <row r="42" spans="1:5" x14ac:dyDescent="0.25">
      <c r="A42" s="11" t="s">
        <v>14</v>
      </c>
      <c r="B42" s="6"/>
      <c r="C42" s="6"/>
      <c r="D42" s="6"/>
      <c r="E42" s="6"/>
    </row>
    <row r="43" spans="1:5" x14ac:dyDescent="0.25">
      <c r="A43" s="20" t="s">
        <v>17</v>
      </c>
      <c r="B43" s="20">
        <v>1</v>
      </c>
      <c r="C43" s="20">
        <v>2</v>
      </c>
      <c r="D43" s="20">
        <v>3</v>
      </c>
      <c r="E43" s="6"/>
    </row>
    <row r="44" spans="1:5" x14ac:dyDescent="0.25">
      <c r="A44" s="20" t="s">
        <v>15</v>
      </c>
      <c r="B44" s="20">
        <v>1</v>
      </c>
      <c r="C44" s="20">
        <v>1</v>
      </c>
      <c r="D44" s="20">
        <v>1</v>
      </c>
      <c r="E44" s="7"/>
    </row>
    <row r="45" spans="1:5" x14ac:dyDescent="0.25">
      <c r="A45" s="20" t="s">
        <v>4</v>
      </c>
      <c r="B45" s="21">
        <f>AVERAGE(B19:B39)</f>
        <v>2.3333333333333335</v>
      </c>
      <c r="C45" s="21">
        <f>AVERAGE(C19:C39)</f>
        <v>1.9047619047619047</v>
      </c>
      <c r="D45" s="21">
        <f>AVERAGE(D19:D39)</f>
        <v>2.1904761904761907</v>
      </c>
      <c r="E45" s="10"/>
    </row>
    <row r="46" spans="1:5" x14ac:dyDescent="0.25">
      <c r="A46" s="20" t="s">
        <v>5</v>
      </c>
      <c r="B46" s="21">
        <f>STDEV(B19:B40)</f>
        <v>0.79582242575422157</v>
      </c>
      <c r="C46" s="21">
        <f>STDEV(C19:C40)</f>
        <v>0.62488094104092384</v>
      </c>
      <c r="D46" s="21">
        <f>STDEV(D19:D40)</f>
        <v>0.51176631571915909</v>
      </c>
      <c r="E46" s="10"/>
    </row>
    <row r="47" spans="1:5" x14ac:dyDescent="0.25">
      <c r="A47" s="20"/>
      <c r="B47" s="20"/>
      <c r="C47" s="20"/>
      <c r="D47" s="20"/>
      <c r="E47" s="6"/>
    </row>
    <row r="48" spans="1:5" x14ac:dyDescent="0.25">
      <c r="A48" s="20" t="s">
        <v>9</v>
      </c>
      <c r="B48" s="20">
        <v>16</v>
      </c>
      <c r="C48" s="20">
        <v>15</v>
      </c>
      <c r="D48" s="20">
        <v>13</v>
      </c>
      <c r="E48" s="6"/>
    </row>
    <row r="49" spans="1:7" x14ac:dyDescent="0.25">
      <c r="A49" s="20" t="s">
        <v>10</v>
      </c>
      <c r="B49" s="20">
        <v>4</v>
      </c>
      <c r="C49" s="20">
        <v>3</v>
      </c>
      <c r="D49" s="20">
        <v>2</v>
      </c>
      <c r="E49" s="6"/>
    </row>
    <row r="50" spans="1:7" x14ac:dyDescent="0.25">
      <c r="A50" s="20" t="s">
        <v>7</v>
      </c>
      <c r="B50" s="20">
        <v>1</v>
      </c>
      <c r="C50" s="20">
        <v>3</v>
      </c>
      <c r="D50" s="20">
        <v>6</v>
      </c>
      <c r="E50" s="6"/>
    </row>
    <row r="51" spans="1:7" x14ac:dyDescent="0.25">
      <c r="A51" s="20" t="s">
        <v>8</v>
      </c>
      <c r="B51" s="20">
        <f>SUM(B47:B50)</f>
        <v>21</v>
      </c>
      <c r="C51" s="20">
        <f t="shared" ref="C51:D51" si="0">SUM(C47:C50)</f>
        <v>21</v>
      </c>
      <c r="D51" s="20">
        <f t="shared" si="0"/>
        <v>21</v>
      </c>
      <c r="E51" s="6"/>
    </row>
    <row r="53" spans="1:7" x14ac:dyDescent="0.25">
      <c r="A53" s="12" t="s">
        <v>13</v>
      </c>
      <c r="B53" s="8"/>
      <c r="C53" s="8"/>
      <c r="D53" s="8"/>
      <c r="E53" s="8"/>
      <c r="F53" s="8"/>
    </row>
    <row r="54" spans="1:7" x14ac:dyDescent="0.25">
      <c r="A54" s="8" t="s">
        <v>0</v>
      </c>
      <c r="B54" s="8">
        <v>1</v>
      </c>
      <c r="C54" s="8"/>
      <c r="D54" s="8"/>
      <c r="E54" s="8"/>
      <c r="F54" s="8"/>
    </row>
    <row r="55" spans="1:7" x14ac:dyDescent="0.25">
      <c r="A55" s="8" t="s">
        <v>11</v>
      </c>
      <c r="B55" s="9">
        <f>AVERAGE(B45:D45)</f>
        <v>2.1428571428571428</v>
      </c>
      <c r="C55" s="9"/>
      <c r="D55" s="9"/>
      <c r="E55" s="9"/>
      <c r="F55" s="9"/>
    </row>
    <row r="56" spans="1:7" x14ac:dyDescent="0.25">
      <c r="A56" s="8" t="s">
        <v>12</v>
      </c>
      <c r="B56" s="9">
        <f>_xlfn.STDEV.P(B45:D45)</f>
        <v>0.1781741612749497</v>
      </c>
      <c r="C56" s="9"/>
      <c r="D56" s="9"/>
      <c r="E56" s="9"/>
      <c r="F56" s="9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8" spans="9:13" x14ac:dyDescent="0.25">
      <c r="I68" s="2"/>
      <c r="J68" s="2"/>
      <c r="K68" s="2"/>
      <c r="L68" s="2"/>
      <c r="M68" s="2"/>
    </row>
    <row r="141" spans="1:18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x14ac:dyDescent="0.25">
      <c r="A153" s="4"/>
      <c r="B153" s="4"/>
      <c r="C153" s="4"/>
      <c r="D153" s="4"/>
      <c r="E153" s="4"/>
      <c r="F153" s="4"/>
      <c r="G153" s="4"/>
      <c r="H153" s="13"/>
      <c r="I153" s="13"/>
      <c r="J153" s="13"/>
      <c r="K153" s="13"/>
      <c r="L153" s="13"/>
      <c r="M153" s="13"/>
      <c r="N153" s="4"/>
      <c r="O153" s="4"/>
      <c r="P153" s="4"/>
      <c r="Q153" s="4"/>
      <c r="R153" s="4"/>
    </row>
    <row r="154" spans="1:18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25">
      <c r="A175" s="4"/>
      <c r="B175" s="1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25">
      <c r="A176" s="4"/>
      <c r="B176" s="1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25">
      <c r="A177" s="4"/>
      <c r="B177" s="1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25">
      <c r="A178" s="4"/>
      <c r="B178" s="1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25">
      <c r="A180" s="15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</sheetData>
  <sortState ref="D19:D39">
    <sortCondition ref="D19:D39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John</cp:lastModifiedBy>
  <cp:lastPrinted>2020-03-06T20:00:58Z</cp:lastPrinted>
  <dcterms:created xsi:type="dcterms:W3CDTF">2013-01-15T05:38:26Z</dcterms:created>
  <dcterms:modified xsi:type="dcterms:W3CDTF">2020-03-06T21:36:39Z</dcterms:modified>
</cp:coreProperties>
</file>