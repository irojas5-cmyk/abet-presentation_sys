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PC/Documents/Work/Teaching/UIC Teaching/CHE 205/ABET/"/>
    </mc:Choice>
  </mc:AlternateContent>
  <xr:revisionPtr revIDLastSave="0" documentId="8_{4420FB77-F0E3-A849-802D-F5D169D748F4}" xr6:coauthVersionLast="45" xr6:coauthVersionMax="45" xr10:uidLastSave="{00000000-0000-0000-0000-000000000000}"/>
  <bookViews>
    <workbookView xWindow="360" yWindow="500" windowWidth="33600" windowHeight="19740" tabRatio="500" activeTab="3" xr2:uid="{00000000-000D-0000-FFFF-FFFF00000000}"/>
  </bookViews>
  <sheets>
    <sheet name="Fall 2014" sheetId="1" r:id="rId1"/>
    <sheet name="Spring 2015" sheetId="4" r:id="rId2"/>
    <sheet name="Fall 2015" sheetId="5" r:id="rId3"/>
    <sheet name="Fall 2016" sheetId="3" r:id="rId4"/>
    <sheet name="Sheet1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8" i="3" l="1"/>
  <c r="G38" i="3"/>
  <c r="F38" i="3"/>
  <c r="H37" i="3"/>
  <c r="G37" i="3"/>
  <c r="F37" i="3"/>
  <c r="H36" i="3"/>
  <c r="G36" i="3"/>
  <c r="F36" i="3"/>
  <c r="H35" i="3"/>
  <c r="G35" i="3"/>
  <c r="F35" i="3"/>
  <c r="H34" i="3"/>
  <c r="G34" i="3"/>
  <c r="F34" i="3"/>
  <c r="H33" i="3"/>
  <c r="G33" i="3"/>
  <c r="F33" i="3"/>
  <c r="H32" i="3"/>
  <c r="G32" i="3"/>
  <c r="F32" i="3"/>
  <c r="H31" i="3"/>
  <c r="G31" i="3"/>
  <c r="F31" i="3"/>
  <c r="H30" i="3"/>
  <c r="G30" i="3"/>
  <c r="F30" i="3"/>
  <c r="H29" i="3"/>
  <c r="G29" i="3"/>
  <c r="F29" i="3"/>
  <c r="H28" i="3"/>
  <c r="G28" i="3"/>
  <c r="F28" i="3"/>
  <c r="H27" i="3"/>
  <c r="G27" i="3"/>
  <c r="F27" i="3"/>
  <c r="H26" i="3"/>
  <c r="G26" i="3"/>
  <c r="F26" i="3"/>
  <c r="H25" i="3"/>
  <c r="G25" i="3"/>
  <c r="F25" i="3"/>
  <c r="H24" i="3"/>
  <c r="G24" i="3"/>
  <c r="F24" i="3"/>
  <c r="H23" i="3"/>
  <c r="G23" i="3"/>
  <c r="F23" i="3"/>
  <c r="H22" i="3"/>
  <c r="G22" i="3"/>
  <c r="F22" i="3"/>
  <c r="H21" i="3"/>
  <c r="G21" i="3"/>
  <c r="F21" i="3"/>
  <c r="H20" i="3"/>
  <c r="G20" i="3"/>
  <c r="F20" i="3"/>
  <c r="H19" i="3"/>
  <c r="G19" i="3"/>
  <c r="F19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9" i="3"/>
  <c r="G9" i="3"/>
  <c r="F9" i="3"/>
  <c r="H8" i="3"/>
  <c r="G8" i="3"/>
  <c r="F8" i="3"/>
  <c r="H7" i="3"/>
  <c r="G7" i="3"/>
  <c r="F7" i="3"/>
  <c r="F39" i="3" s="1"/>
  <c r="H6" i="3"/>
  <c r="G6" i="3"/>
  <c r="F6" i="3"/>
  <c r="H5" i="3"/>
  <c r="G5" i="3"/>
  <c r="F5" i="3"/>
  <c r="H4" i="3"/>
  <c r="H39" i="3" s="1"/>
  <c r="G4" i="3"/>
  <c r="G39" i="3" s="1"/>
  <c r="F4" i="3"/>
  <c r="H3" i="3"/>
  <c r="G3" i="3"/>
  <c r="F3" i="3"/>
  <c r="H44" i="5"/>
  <c r="G44" i="5"/>
  <c r="F44" i="5"/>
  <c r="H43" i="5"/>
  <c r="G43" i="5"/>
  <c r="F43" i="5"/>
  <c r="H42" i="5"/>
  <c r="G42" i="5"/>
  <c r="F42" i="5"/>
  <c r="H41" i="5"/>
  <c r="G41" i="5"/>
  <c r="F41" i="5"/>
  <c r="H40" i="5"/>
  <c r="G40" i="5"/>
  <c r="F40" i="5"/>
  <c r="H39" i="5"/>
  <c r="G39" i="5"/>
  <c r="F39" i="5"/>
  <c r="H38" i="5"/>
  <c r="G38" i="5"/>
  <c r="F38" i="5"/>
  <c r="H37" i="5"/>
  <c r="G37" i="5"/>
  <c r="F37" i="5"/>
  <c r="H36" i="5"/>
  <c r="G36" i="5"/>
  <c r="F36" i="5"/>
  <c r="H35" i="5"/>
  <c r="G35" i="5"/>
  <c r="F35" i="5"/>
  <c r="H34" i="5"/>
  <c r="G34" i="5"/>
  <c r="F34" i="5"/>
  <c r="H33" i="5"/>
  <c r="G33" i="5"/>
  <c r="F33" i="5"/>
  <c r="H32" i="5"/>
  <c r="G32" i="5"/>
  <c r="F32" i="5"/>
  <c r="H31" i="5"/>
  <c r="G31" i="5"/>
  <c r="F31" i="5"/>
  <c r="H30" i="5"/>
  <c r="G30" i="5"/>
  <c r="F30" i="5"/>
  <c r="H29" i="5"/>
  <c r="G29" i="5"/>
  <c r="F29" i="5"/>
  <c r="H28" i="5"/>
  <c r="G28" i="5"/>
  <c r="F28" i="5"/>
  <c r="H27" i="5"/>
  <c r="G27" i="5"/>
  <c r="F27" i="5"/>
  <c r="H26" i="5"/>
  <c r="G26" i="5"/>
  <c r="F26" i="5"/>
  <c r="H25" i="5"/>
  <c r="G25" i="5"/>
  <c r="F25" i="5"/>
  <c r="H24" i="5"/>
  <c r="G24" i="5"/>
  <c r="F24" i="5"/>
  <c r="H23" i="5"/>
  <c r="G23" i="5"/>
  <c r="F23" i="5"/>
  <c r="H22" i="5"/>
  <c r="G22" i="5"/>
  <c r="F22" i="5"/>
  <c r="H21" i="5"/>
  <c r="G21" i="5"/>
  <c r="F21" i="5"/>
  <c r="H20" i="5"/>
  <c r="G20" i="5"/>
  <c r="F20" i="5"/>
  <c r="H19" i="5"/>
  <c r="G19" i="5"/>
  <c r="F19" i="5"/>
  <c r="H18" i="5"/>
  <c r="G18" i="5"/>
  <c r="F18" i="5"/>
  <c r="H17" i="5"/>
  <c r="G17" i="5"/>
  <c r="F17" i="5"/>
  <c r="H16" i="5"/>
  <c r="G16" i="5"/>
  <c r="F16" i="5"/>
  <c r="H15" i="5"/>
  <c r="G15" i="5"/>
  <c r="F15" i="5"/>
  <c r="H14" i="5"/>
  <c r="G14" i="5"/>
  <c r="F14" i="5"/>
  <c r="H13" i="5"/>
  <c r="G13" i="5"/>
  <c r="F13" i="5"/>
  <c r="H12" i="5"/>
  <c r="G12" i="5"/>
  <c r="F12" i="5"/>
  <c r="H11" i="5"/>
  <c r="G11" i="5"/>
  <c r="F11" i="5"/>
  <c r="H10" i="5"/>
  <c r="G10" i="5"/>
  <c r="F10" i="5"/>
  <c r="H9" i="5"/>
  <c r="G9" i="5"/>
  <c r="F9" i="5"/>
  <c r="H8" i="5"/>
  <c r="G8" i="5"/>
  <c r="F8" i="5"/>
  <c r="H7" i="5"/>
  <c r="G7" i="5"/>
  <c r="F7" i="5"/>
  <c r="H6" i="5"/>
  <c r="G6" i="5"/>
  <c r="F6" i="5"/>
  <c r="H5" i="5"/>
  <c r="H45" i="5" s="1"/>
  <c r="G5" i="5"/>
  <c r="G45" i="5" s="1"/>
  <c r="F5" i="5"/>
  <c r="F45" i="5" s="1"/>
  <c r="H4" i="5"/>
  <c r="G4" i="5"/>
  <c r="F4" i="5"/>
  <c r="H3" i="5"/>
  <c r="G3" i="5"/>
  <c r="F3" i="5"/>
  <c r="H64" i="4"/>
  <c r="G64" i="4"/>
  <c r="F64" i="4"/>
  <c r="H63" i="4"/>
  <c r="G63" i="4"/>
  <c r="F63" i="4"/>
  <c r="H62" i="4"/>
  <c r="G62" i="4"/>
  <c r="F62" i="4"/>
  <c r="H61" i="4"/>
  <c r="G61" i="4"/>
  <c r="F61" i="4"/>
  <c r="H60" i="4"/>
  <c r="G60" i="4"/>
  <c r="F60" i="4"/>
  <c r="H59" i="4"/>
  <c r="G59" i="4"/>
  <c r="F59" i="4"/>
  <c r="H58" i="4"/>
  <c r="G58" i="4"/>
  <c r="F58" i="4"/>
  <c r="H57" i="4"/>
  <c r="G57" i="4"/>
  <c r="F57" i="4"/>
  <c r="H56" i="4"/>
  <c r="G56" i="4"/>
  <c r="F56" i="4"/>
  <c r="H55" i="4"/>
  <c r="G55" i="4"/>
  <c r="F55" i="4"/>
  <c r="H54" i="4"/>
  <c r="G54" i="4"/>
  <c r="F54" i="4"/>
  <c r="H53" i="4"/>
  <c r="G53" i="4"/>
  <c r="F53" i="4"/>
  <c r="H52" i="4"/>
  <c r="G52" i="4"/>
  <c r="F52" i="4"/>
  <c r="H51" i="4"/>
  <c r="G51" i="4"/>
  <c r="F51" i="4"/>
  <c r="H50" i="4"/>
  <c r="G50" i="4"/>
  <c r="F50" i="4"/>
  <c r="H49" i="4"/>
  <c r="G49" i="4"/>
  <c r="F49" i="4"/>
  <c r="H48" i="4"/>
  <c r="G48" i="4"/>
  <c r="F48" i="4"/>
  <c r="H47" i="4"/>
  <c r="G47" i="4"/>
  <c r="F47" i="4"/>
  <c r="H46" i="4"/>
  <c r="G46" i="4"/>
  <c r="F46" i="4"/>
  <c r="H45" i="4"/>
  <c r="G45" i="4"/>
  <c r="F45" i="4"/>
  <c r="H44" i="4"/>
  <c r="G44" i="4"/>
  <c r="F44" i="4"/>
  <c r="H43" i="4"/>
  <c r="G43" i="4"/>
  <c r="F43" i="4"/>
  <c r="H42" i="4"/>
  <c r="G42" i="4"/>
  <c r="F42" i="4"/>
  <c r="H41" i="4"/>
  <c r="G41" i="4"/>
  <c r="F41" i="4"/>
  <c r="H40" i="4"/>
  <c r="G40" i="4"/>
  <c r="F40" i="4"/>
  <c r="H39" i="4"/>
  <c r="G39" i="4"/>
  <c r="F39" i="4"/>
  <c r="H38" i="4"/>
  <c r="G38" i="4"/>
  <c r="F38" i="4"/>
  <c r="H37" i="4"/>
  <c r="G37" i="4"/>
  <c r="F37" i="4"/>
  <c r="H36" i="4"/>
  <c r="G36" i="4"/>
  <c r="F36" i="4"/>
  <c r="H35" i="4"/>
  <c r="G35" i="4"/>
  <c r="F35" i="4"/>
  <c r="H34" i="4"/>
  <c r="G34" i="4"/>
  <c r="F34" i="4"/>
  <c r="H33" i="4"/>
  <c r="G33" i="4"/>
  <c r="F33" i="4"/>
  <c r="H32" i="4"/>
  <c r="G32" i="4"/>
  <c r="F32" i="4"/>
  <c r="H31" i="4"/>
  <c r="G31" i="4"/>
  <c r="F31" i="4"/>
  <c r="H30" i="4"/>
  <c r="G30" i="4"/>
  <c r="F30" i="4"/>
  <c r="H29" i="4"/>
  <c r="G29" i="4"/>
  <c r="F29" i="4"/>
  <c r="H28" i="4"/>
  <c r="G28" i="4"/>
  <c r="F28" i="4"/>
  <c r="H27" i="4"/>
  <c r="G27" i="4"/>
  <c r="F27" i="4"/>
  <c r="H26" i="4"/>
  <c r="G26" i="4"/>
  <c r="F26" i="4"/>
  <c r="H25" i="4"/>
  <c r="G25" i="4"/>
  <c r="F25" i="4"/>
  <c r="H24" i="4"/>
  <c r="G24" i="4"/>
  <c r="F24" i="4"/>
  <c r="H23" i="4"/>
  <c r="G23" i="4"/>
  <c r="F23" i="4"/>
  <c r="H22" i="4"/>
  <c r="G22" i="4"/>
  <c r="F22" i="4"/>
  <c r="H21" i="4"/>
  <c r="G21" i="4"/>
  <c r="F21" i="4"/>
  <c r="H20" i="4"/>
  <c r="G20" i="4"/>
  <c r="F20" i="4"/>
  <c r="H19" i="4"/>
  <c r="G19" i="4"/>
  <c r="F19" i="4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G65" i="4" s="1"/>
  <c r="F6" i="4"/>
  <c r="H5" i="4"/>
  <c r="G5" i="4"/>
  <c r="F5" i="4"/>
  <c r="F65" i="4" s="1"/>
  <c r="H4" i="4"/>
  <c r="G4" i="4"/>
  <c r="F4" i="4"/>
  <c r="H3" i="4"/>
  <c r="H65" i="4" s="1"/>
  <c r="G3" i="4"/>
  <c r="F3" i="4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L4" i="5"/>
  <c r="E39" i="5"/>
  <c r="E40" i="5"/>
  <c r="E41" i="5"/>
  <c r="E42" i="5"/>
  <c r="E43" i="5"/>
  <c r="E44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L4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L4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L11" i="1"/>
  <c r="L4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L12" i="5" l="1"/>
  <c r="M12" i="5" s="1"/>
  <c r="L11" i="5"/>
  <c r="M11" i="5" s="1"/>
  <c r="L11" i="4"/>
  <c r="M11" i="4" s="1"/>
  <c r="L12" i="4"/>
  <c r="M12" i="4" s="1"/>
  <c r="L11" i="3"/>
  <c r="M11" i="3" s="1"/>
  <c r="L12" i="3"/>
  <c r="M12" i="3" s="1"/>
  <c r="F34" i="1"/>
  <c r="L8" i="5" l="1"/>
  <c r="M8" i="5" s="1"/>
  <c r="L9" i="5"/>
  <c r="M9" i="5" s="1"/>
  <c r="L10" i="5"/>
  <c r="M10" i="5" s="1"/>
  <c r="L9" i="4"/>
  <c r="M9" i="4" s="1"/>
  <c r="L10" i="4"/>
  <c r="M10" i="4" s="1"/>
  <c r="L9" i="3"/>
  <c r="M9" i="3" s="1"/>
  <c r="L10" i="3"/>
  <c r="M10" i="3" s="1"/>
  <c r="L8" i="1"/>
  <c r="L12" i="1"/>
  <c r="M12" i="1" s="1"/>
  <c r="M11" i="1"/>
  <c r="I45" i="5" l="1"/>
  <c r="I65" i="4"/>
  <c r="L8" i="4"/>
  <c r="M8" i="4" s="1"/>
  <c r="I39" i="3"/>
  <c r="L8" i="3"/>
  <c r="M8" i="3" s="1"/>
  <c r="H34" i="1"/>
  <c r="L10" i="1" s="1"/>
  <c r="M10" i="1" s="1"/>
  <c r="G34" i="1"/>
  <c r="L9" i="1" l="1"/>
  <c r="I34" i="1"/>
  <c r="M9" i="1"/>
  <c r="M8" i="1"/>
</calcChain>
</file>

<file path=xl/sharedStrings.xml><?xml version="1.0" encoding="utf-8"?>
<sst xmlns="http://schemas.openxmlformats.org/spreadsheetml/2006/main" count="72" uniqueCount="17">
  <si>
    <t>Problem 4</t>
  </si>
  <si>
    <t>pts</t>
  </si>
  <si>
    <t>problem 4</t>
  </si>
  <si>
    <t>total</t>
  </si>
  <si>
    <t>SO</t>
  </si>
  <si>
    <t>% (3 = Satisfactory)</t>
  </si>
  <si>
    <t>% (2 = Developing)</t>
  </si>
  <si>
    <t>% (1 = Unsatisfactory)</t>
  </si>
  <si>
    <t>Average Score</t>
  </si>
  <si>
    <t>Standard Deviation</t>
  </si>
  <si>
    <t xml:space="preserve">SO </t>
  </si>
  <si>
    <t>Description</t>
  </si>
  <si>
    <t>Ability to apply knowledge of mathematics, science, and engineering</t>
  </si>
  <si>
    <t>Ability to identify, formulate, and solve engineering problems</t>
  </si>
  <si>
    <t>Student</t>
  </si>
  <si>
    <t>normalized</t>
  </si>
  <si>
    <t>Number of Students: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</si>
</sst>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u/>
      <sz val="16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0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0" fillId="2" borderId="1" xfId="0" applyFill="1" applyBorder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2" xfId="1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/>
    <xf numFmtId="0" fontId="6" fillId="0" borderId="2" xfId="0" applyFont="1" applyBorder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7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workbookViewId="0">
      <selection activeCell="K4" sqref="K4:M12"/>
    </sheetView>
  </sheetViews>
  <sheetFormatPr baseColWidth="10" defaultRowHeight="21"/>
  <cols>
    <col min="11" max="11" width="21.75" customWidth="1"/>
    <col min="16" max="16" width="38" customWidth="1"/>
  </cols>
  <sheetData>
    <row r="1" spans="1:16" ht="22" thickBot="1">
      <c r="A1" t="s">
        <v>1</v>
      </c>
      <c r="C1">
        <v>22</v>
      </c>
      <c r="E1" t="s">
        <v>15</v>
      </c>
      <c r="F1" s="3" t="s">
        <v>0</v>
      </c>
      <c r="G1" s="3"/>
      <c r="H1" s="3"/>
    </row>
    <row r="2" spans="1:16" ht="22" thickBot="1">
      <c r="A2" t="s">
        <v>14</v>
      </c>
      <c r="C2" t="s">
        <v>0</v>
      </c>
      <c r="E2" t="s">
        <v>2</v>
      </c>
      <c r="F2" s="5">
        <v>3</v>
      </c>
      <c r="G2" s="5">
        <v>2</v>
      </c>
      <c r="H2" s="5">
        <v>1</v>
      </c>
    </row>
    <row r="3" spans="1:16">
      <c r="A3">
        <v>1</v>
      </c>
      <c r="C3">
        <v>22</v>
      </c>
      <c r="D3" s="2"/>
      <c r="E3" s="15">
        <f>C3*3/22</f>
        <v>3</v>
      </c>
      <c r="F3" s="3">
        <f>IF(E3&gt;=2,1,0)</f>
        <v>1</v>
      </c>
      <c r="G3" s="3">
        <f>IF(E3&lt;2,IF(E3&gt;=1,1,0),0)</f>
        <v>0</v>
      </c>
      <c r="H3" s="3">
        <f>IF(E3&lt;1,1,0)</f>
        <v>0</v>
      </c>
    </row>
    <row r="4" spans="1:16">
      <c r="A4">
        <v>2</v>
      </c>
      <c r="C4">
        <v>19</v>
      </c>
      <c r="D4" s="2"/>
      <c r="E4" s="15">
        <f t="shared" ref="E4:E32" si="0">C4*3/22</f>
        <v>2.5909090909090908</v>
      </c>
      <c r="F4" s="3">
        <f t="shared" ref="F4:F32" si="1">IF(E4&gt;=2,1,0)</f>
        <v>1</v>
      </c>
      <c r="G4" s="3">
        <f t="shared" ref="G4:G32" si="2">IF(E4&lt;2,IF(E4&gt;=1,1,0),0)</f>
        <v>0</v>
      </c>
      <c r="H4" s="3">
        <f t="shared" ref="H4:H32" si="3">IF(E4&lt;1,1,0)</f>
        <v>0</v>
      </c>
      <c r="K4" t="s">
        <v>16</v>
      </c>
      <c r="L4">
        <f>COUNT(A3:A32)</f>
        <v>30</v>
      </c>
    </row>
    <row r="5" spans="1:16">
      <c r="A5">
        <v>3</v>
      </c>
      <c r="C5">
        <v>10</v>
      </c>
      <c r="D5" s="2"/>
      <c r="E5" s="15">
        <f t="shared" si="0"/>
        <v>1.3636363636363635</v>
      </c>
      <c r="F5" s="3">
        <f t="shared" si="1"/>
        <v>0</v>
      </c>
      <c r="G5" s="3">
        <f t="shared" si="2"/>
        <v>1</v>
      </c>
      <c r="H5" s="3">
        <f t="shared" si="3"/>
        <v>0</v>
      </c>
    </row>
    <row r="6" spans="1:16">
      <c r="A6">
        <v>4</v>
      </c>
      <c r="C6">
        <v>22</v>
      </c>
      <c r="D6" s="2"/>
      <c r="E6" s="15">
        <f t="shared" si="0"/>
        <v>3</v>
      </c>
      <c r="F6" s="3">
        <f t="shared" si="1"/>
        <v>1</v>
      </c>
      <c r="G6" s="3">
        <f t="shared" si="2"/>
        <v>0</v>
      </c>
      <c r="H6" s="3">
        <f t="shared" si="3"/>
        <v>0</v>
      </c>
      <c r="K6" s="6" t="s">
        <v>4</v>
      </c>
      <c r="L6" s="7">
        <v>1</v>
      </c>
      <c r="M6" s="7">
        <v>2</v>
      </c>
      <c r="O6" s="12" t="s">
        <v>10</v>
      </c>
      <c r="P6" s="13" t="s">
        <v>11</v>
      </c>
    </row>
    <row r="7" spans="1:16">
      <c r="A7">
        <v>5</v>
      </c>
      <c r="C7">
        <v>9</v>
      </c>
      <c r="D7" s="2"/>
      <c r="E7" s="15">
        <f t="shared" si="0"/>
        <v>1.2272727272727273</v>
      </c>
      <c r="F7" s="3">
        <f t="shared" si="1"/>
        <v>0</v>
      </c>
      <c r="G7" s="3">
        <f t="shared" si="2"/>
        <v>1</v>
      </c>
      <c r="H7" s="3">
        <f t="shared" si="3"/>
        <v>0</v>
      </c>
      <c r="K7" s="6"/>
      <c r="L7" s="8"/>
      <c r="M7" s="9"/>
      <c r="O7" s="12">
        <v>1</v>
      </c>
      <c r="P7" s="14" t="s">
        <v>12</v>
      </c>
    </row>
    <row r="8" spans="1:16">
      <c r="A8">
        <v>6</v>
      </c>
      <c r="C8">
        <v>2</v>
      </c>
      <c r="D8" s="2"/>
      <c r="E8" s="15">
        <f t="shared" si="0"/>
        <v>0.27272727272727271</v>
      </c>
      <c r="F8" s="3">
        <f t="shared" si="1"/>
        <v>0</v>
      </c>
      <c r="G8" s="3">
        <f t="shared" si="2"/>
        <v>0</v>
      </c>
      <c r="H8" s="3">
        <f t="shared" si="3"/>
        <v>1</v>
      </c>
      <c r="K8" s="6" t="s">
        <v>5</v>
      </c>
      <c r="L8" s="8">
        <f>F34/L4</f>
        <v>0.6333333333333333</v>
      </c>
      <c r="M8" s="9">
        <f>L8</f>
        <v>0.6333333333333333</v>
      </c>
      <c r="O8" s="12">
        <v>2</v>
      </c>
      <c r="P8" s="14" t="s">
        <v>13</v>
      </c>
    </row>
    <row r="9" spans="1:16">
      <c r="A9">
        <v>7</v>
      </c>
      <c r="C9">
        <v>21</v>
      </c>
      <c r="D9" s="2"/>
      <c r="E9" s="15">
        <f t="shared" si="0"/>
        <v>2.8636363636363638</v>
      </c>
      <c r="F9" s="3">
        <f t="shared" si="1"/>
        <v>1</v>
      </c>
      <c r="G9" s="3">
        <f t="shared" si="2"/>
        <v>0</v>
      </c>
      <c r="H9" s="3">
        <f t="shared" si="3"/>
        <v>0</v>
      </c>
      <c r="K9" s="6" t="s">
        <v>6</v>
      </c>
      <c r="L9" s="8">
        <f>G34/L4</f>
        <v>0.2</v>
      </c>
      <c r="M9" s="9">
        <f>L9</f>
        <v>0.2</v>
      </c>
    </row>
    <row r="10" spans="1:16">
      <c r="A10">
        <v>8</v>
      </c>
      <c r="C10">
        <v>12</v>
      </c>
      <c r="D10" s="2"/>
      <c r="E10" s="15">
        <f t="shared" si="0"/>
        <v>1.6363636363636365</v>
      </c>
      <c r="F10" s="3">
        <f t="shared" si="1"/>
        <v>0</v>
      </c>
      <c r="G10" s="3">
        <f t="shared" si="2"/>
        <v>1</v>
      </c>
      <c r="H10" s="3">
        <f t="shared" si="3"/>
        <v>0</v>
      </c>
      <c r="K10" s="6" t="s">
        <v>7</v>
      </c>
      <c r="L10" s="8">
        <f>H34/L4</f>
        <v>0.16666666666666666</v>
      </c>
      <c r="M10" s="9">
        <f>L10</f>
        <v>0.16666666666666666</v>
      </c>
    </row>
    <row r="11" spans="1:16">
      <c r="A11">
        <v>9</v>
      </c>
      <c r="C11">
        <v>16</v>
      </c>
      <c r="D11" s="2"/>
      <c r="E11" s="15">
        <f t="shared" si="0"/>
        <v>2.1818181818181817</v>
      </c>
      <c r="F11" s="3">
        <f t="shared" si="1"/>
        <v>1</v>
      </c>
      <c r="G11" s="3">
        <f t="shared" si="2"/>
        <v>0</v>
      </c>
      <c r="H11" s="3">
        <f t="shared" si="3"/>
        <v>0</v>
      </c>
      <c r="K11" s="6" t="s">
        <v>8</v>
      </c>
      <c r="L11" s="10">
        <f>AVERAGE(E3:E32)</f>
        <v>2.127272727272727</v>
      </c>
      <c r="M11" s="10">
        <f>L11</f>
        <v>2.127272727272727</v>
      </c>
    </row>
    <row r="12" spans="1:16">
      <c r="A12">
        <v>10</v>
      </c>
      <c r="C12">
        <v>5</v>
      </c>
      <c r="D12" s="2"/>
      <c r="E12" s="15">
        <f t="shared" si="0"/>
        <v>0.68181818181818177</v>
      </c>
      <c r="F12" s="3">
        <f t="shared" si="1"/>
        <v>0</v>
      </c>
      <c r="G12" s="3">
        <f t="shared" si="2"/>
        <v>0</v>
      </c>
      <c r="H12" s="3">
        <f t="shared" si="3"/>
        <v>1</v>
      </c>
      <c r="K12" s="6" t="s">
        <v>9</v>
      </c>
      <c r="L12" s="10">
        <f>STDEV(E3:E32)</f>
        <v>0.8724921313319971</v>
      </c>
      <c r="M12" s="11">
        <f>L12</f>
        <v>0.8724921313319971</v>
      </c>
    </row>
    <row r="13" spans="1:16">
      <c r="A13">
        <v>11</v>
      </c>
      <c r="C13">
        <v>7</v>
      </c>
      <c r="D13" s="2"/>
      <c r="E13" s="15">
        <f t="shared" si="0"/>
        <v>0.95454545454545459</v>
      </c>
      <c r="F13" s="3">
        <f t="shared" si="1"/>
        <v>0</v>
      </c>
      <c r="G13" s="3">
        <f t="shared" si="2"/>
        <v>0</v>
      </c>
      <c r="H13" s="3">
        <f t="shared" si="3"/>
        <v>1</v>
      </c>
    </row>
    <row r="14" spans="1:16">
      <c r="A14">
        <v>12</v>
      </c>
      <c r="C14">
        <v>20</v>
      </c>
      <c r="D14" s="2"/>
      <c r="E14" s="15">
        <f t="shared" si="0"/>
        <v>2.7272727272727271</v>
      </c>
      <c r="F14" s="3">
        <f t="shared" si="1"/>
        <v>1</v>
      </c>
      <c r="G14" s="3">
        <f t="shared" si="2"/>
        <v>0</v>
      </c>
      <c r="H14" s="3">
        <f t="shared" si="3"/>
        <v>0</v>
      </c>
    </row>
    <row r="15" spans="1:16">
      <c r="A15">
        <v>13</v>
      </c>
      <c r="C15">
        <v>18</v>
      </c>
      <c r="D15" s="2"/>
      <c r="E15" s="15">
        <f t="shared" si="0"/>
        <v>2.4545454545454546</v>
      </c>
      <c r="F15" s="3">
        <f t="shared" si="1"/>
        <v>1</v>
      </c>
      <c r="G15" s="3">
        <f t="shared" si="2"/>
        <v>0</v>
      </c>
      <c r="H15" s="3">
        <f t="shared" si="3"/>
        <v>0</v>
      </c>
      <c r="K15" s="4"/>
    </row>
    <row r="16" spans="1:16">
      <c r="A16">
        <v>14</v>
      </c>
      <c r="C16">
        <v>11</v>
      </c>
      <c r="D16" s="2"/>
      <c r="E16" s="16">
        <f t="shared" si="0"/>
        <v>1.5</v>
      </c>
      <c r="F16" s="3">
        <f t="shared" si="1"/>
        <v>0</v>
      </c>
      <c r="G16" s="3">
        <f t="shared" si="2"/>
        <v>1</v>
      </c>
      <c r="H16" s="3">
        <f t="shared" si="3"/>
        <v>0</v>
      </c>
    </row>
    <row r="17" spans="1:8">
      <c r="A17">
        <v>15</v>
      </c>
      <c r="C17">
        <v>20</v>
      </c>
      <c r="D17" s="2"/>
      <c r="E17" s="15">
        <f t="shared" si="0"/>
        <v>2.7272727272727271</v>
      </c>
      <c r="F17" s="3">
        <f t="shared" si="1"/>
        <v>1</v>
      </c>
      <c r="G17" s="3">
        <f t="shared" si="2"/>
        <v>0</v>
      </c>
      <c r="H17" s="3">
        <f t="shared" si="3"/>
        <v>0</v>
      </c>
    </row>
    <row r="18" spans="1:8">
      <c r="A18">
        <v>16</v>
      </c>
      <c r="C18">
        <v>22</v>
      </c>
      <c r="D18" s="2"/>
      <c r="E18" s="15">
        <f t="shared" si="0"/>
        <v>3</v>
      </c>
      <c r="F18" s="3">
        <f t="shared" si="1"/>
        <v>1</v>
      </c>
      <c r="G18" s="3">
        <f t="shared" si="2"/>
        <v>0</v>
      </c>
      <c r="H18" s="3">
        <f t="shared" si="3"/>
        <v>0</v>
      </c>
    </row>
    <row r="19" spans="1:8">
      <c r="A19">
        <v>17</v>
      </c>
      <c r="C19">
        <v>15</v>
      </c>
      <c r="D19" s="2"/>
      <c r="E19" s="15">
        <f t="shared" si="0"/>
        <v>2.0454545454545454</v>
      </c>
      <c r="F19" s="3">
        <f t="shared" si="1"/>
        <v>1</v>
      </c>
      <c r="G19" s="3">
        <f t="shared" si="2"/>
        <v>0</v>
      </c>
      <c r="H19" s="3">
        <f t="shared" si="3"/>
        <v>0</v>
      </c>
    </row>
    <row r="20" spans="1:8">
      <c r="A20">
        <v>18</v>
      </c>
      <c r="C20">
        <v>20</v>
      </c>
      <c r="D20" s="2"/>
      <c r="E20" s="15">
        <f t="shared" si="0"/>
        <v>2.7272727272727271</v>
      </c>
      <c r="F20" s="3">
        <f t="shared" si="1"/>
        <v>1</v>
      </c>
      <c r="G20" s="3">
        <f t="shared" si="2"/>
        <v>0</v>
      </c>
      <c r="H20" s="3">
        <f t="shared" si="3"/>
        <v>0</v>
      </c>
    </row>
    <row r="21" spans="1:8">
      <c r="A21">
        <v>19</v>
      </c>
      <c r="C21">
        <v>21</v>
      </c>
      <c r="D21" s="2"/>
      <c r="E21" s="15">
        <f t="shared" si="0"/>
        <v>2.8636363636363638</v>
      </c>
      <c r="F21" s="3">
        <f t="shared" si="1"/>
        <v>1</v>
      </c>
      <c r="G21" s="3">
        <f t="shared" si="2"/>
        <v>0</v>
      </c>
      <c r="H21" s="3">
        <f t="shared" si="3"/>
        <v>0</v>
      </c>
    </row>
    <row r="22" spans="1:8">
      <c r="A22">
        <v>20</v>
      </c>
      <c r="C22">
        <v>18</v>
      </c>
      <c r="D22" s="2"/>
      <c r="E22" s="15">
        <f t="shared" si="0"/>
        <v>2.4545454545454546</v>
      </c>
      <c r="F22" s="3">
        <f t="shared" si="1"/>
        <v>1</v>
      </c>
      <c r="G22" s="3">
        <f t="shared" si="2"/>
        <v>0</v>
      </c>
      <c r="H22" s="3">
        <f t="shared" si="3"/>
        <v>0</v>
      </c>
    </row>
    <row r="23" spans="1:8">
      <c r="A23">
        <v>21</v>
      </c>
      <c r="C23">
        <v>22</v>
      </c>
      <c r="D23" s="2"/>
      <c r="E23" s="15">
        <f t="shared" si="0"/>
        <v>3</v>
      </c>
      <c r="F23" s="3">
        <f t="shared" si="1"/>
        <v>1</v>
      </c>
      <c r="G23" s="3">
        <f t="shared" si="2"/>
        <v>0</v>
      </c>
      <c r="H23" s="3">
        <f t="shared" si="3"/>
        <v>0</v>
      </c>
    </row>
    <row r="24" spans="1:8">
      <c r="A24">
        <v>22</v>
      </c>
      <c r="C24">
        <v>22</v>
      </c>
      <c r="D24" s="2"/>
      <c r="E24" s="15">
        <f t="shared" si="0"/>
        <v>3</v>
      </c>
      <c r="F24" s="3">
        <f t="shared" si="1"/>
        <v>1</v>
      </c>
      <c r="G24" s="3">
        <f t="shared" si="2"/>
        <v>0</v>
      </c>
      <c r="H24" s="3">
        <f t="shared" si="3"/>
        <v>0</v>
      </c>
    </row>
    <row r="25" spans="1:8">
      <c r="A25">
        <v>23</v>
      </c>
      <c r="C25">
        <v>22</v>
      </c>
      <c r="D25" s="2"/>
      <c r="E25" s="15">
        <f t="shared" si="0"/>
        <v>3</v>
      </c>
      <c r="F25" s="3">
        <f t="shared" si="1"/>
        <v>1</v>
      </c>
      <c r="G25" s="3">
        <f t="shared" si="2"/>
        <v>0</v>
      </c>
      <c r="H25" s="3">
        <f t="shared" si="3"/>
        <v>0</v>
      </c>
    </row>
    <row r="26" spans="1:8">
      <c r="A26">
        <v>24</v>
      </c>
      <c r="C26">
        <v>12</v>
      </c>
      <c r="D26" s="2"/>
      <c r="E26" s="15">
        <f t="shared" si="0"/>
        <v>1.6363636363636365</v>
      </c>
      <c r="F26" s="3">
        <f t="shared" si="1"/>
        <v>0</v>
      </c>
      <c r="G26" s="3">
        <f t="shared" si="2"/>
        <v>1</v>
      </c>
      <c r="H26" s="3">
        <f t="shared" si="3"/>
        <v>0</v>
      </c>
    </row>
    <row r="27" spans="1:8">
      <c r="A27">
        <v>25</v>
      </c>
      <c r="C27">
        <v>13</v>
      </c>
      <c r="D27" s="2"/>
      <c r="E27" s="15">
        <f t="shared" si="0"/>
        <v>1.7727272727272727</v>
      </c>
      <c r="F27" s="3">
        <f t="shared" si="1"/>
        <v>0</v>
      </c>
      <c r="G27" s="3">
        <f t="shared" si="2"/>
        <v>1</v>
      </c>
      <c r="H27" s="3">
        <f t="shared" si="3"/>
        <v>0</v>
      </c>
    </row>
    <row r="28" spans="1:8">
      <c r="A28">
        <v>26</v>
      </c>
      <c r="C28">
        <v>22</v>
      </c>
      <c r="D28" s="2"/>
      <c r="E28" s="15">
        <f t="shared" si="0"/>
        <v>3</v>
      </c>
      <c r="F28" s="3">
        <f t="shared" si="1"/>
        <v>1</v>
      </c>
      <c r="G28" s="3">
        <f t="shared" si="2"/>
        <v>0</v>
      </c>
      <c r="H28" s="3">
        <f t="shared" si="3"/>
        <v>0</v>
      </c>
    </row>
    <row r="29" spans="1:8">
      <c r="A29">
        <v>27</v>
      </c>
      <c r="C29">
        <v>4</v>
      </c>
      <c r="D29" s="2"/>
      <c r="E29" s="15">
        <f t="shared" si="0"/>
        <v>0.54545454545454541</v>
      </c>
      <c r="F29" s="3">
        <f t="shared" si="1"/>
        <v>0</v>
      </c>
      <c r="G29" s="3">
        <f t="shared" si="2"/>
        <v>0</v>
      </c>
      <c r="H29" s="3">
        <f t="shared" si="3"/>
        <v>1</v>
      </c>
    </row>
    <row r="30" spans="1:8">
      <c r="A30">
        <v>28</v>
      </c>
      <c r="C30">
        <v>17</v>
      </c>
      <c r="D30" s="2"/>
      <c r="E30" s="15">
        <f t="shared" si="0"/>
        <v>2.3181818181818183</v>
      </c>
      <c r="F30" s="3">
        <f t="shared" si="1"/>
        <v>1</v>
      </c>
      <c r="G30" s="3">
        <f t="shared" si="2"/>
        <v>0</v>
      </c>
      <c r="H30" s="3">
        <f t="shared" si="3"/>
        <v>0</v>
      </c>
    </row>
    <row r="31" spans="1:8">
      <c r="A31">
        <v>29</v>
      </c>
      <c r="C31">
        <v>19</v>
      </c>
      <c r="D31" s="2"/>
      <c r="E31" s="15">
        <f t="shared" si="0"/>
        <v>2.5909090909090908</v>
      </c>
      <c r="F31" s="3">
        <f t="shared" si="1"/>
        <v>1</v>
      </c>
      <c r="G31" s="3">
        <f t="shared" si="2"/>
        <v>0</v>
      </c>
      <c r="H31" s="3">
        <f t="shared" si="3"/>
        <v>0</v>
      </c>
    </row>
    <row r="32" spans="1:8">
      <c r="A32">
        <v>30</v>
      </c>
      <c r="C32">
        <v>5</v>
      </c>
      <c r="D32" s="2"/>
      <c r="E32" s="15">
        <f t="shared" si="0"/>
        <v>0.68181818181818177</v>
      </c>
      <c r="F32" s="3">
        <f t="shared" si="1"/>
        <v>0</v>
      </c>
      <c r="G32" s="3">
        <f t="shared" si="2"/>
        <v>0</v>
      </c>
      <c r="H32" s="3">
        <f t="shared" si="3"/>
        <v>1</v>
      </c>
    </row>
    <row r="34" spans="1:9">
      <c r="A34" s="1"/>
      <c r="E34" t="s">
        <v>3</v>
      </c>
      <c r="F34" s="3">
        <f t="shared" ref="F34:H34" si="4">SUM(F3:F32)</f>
        <v>19</v>
      </c>
      <c r="G34" s="3">
        <f t="shared" si="4"/>
        <v>6</v>
      </c>
      <c r="H34" s="3">
        <f t="shared" si="4"/>
        <v>5</v>
      </c>
      <c r="I34" s="3">
        <f>SUM(F34:H34)</f>
        <v>30</v>
      </c>
    </row>
    <row r="35" spans="1:9">
      <c r="A35" s="1"/>
    </row>
    <row r="36" spans="1:9">
      <c r="A36" s="1"/>
    </row>
    <row r="38" spans="1:9">
      <c r="A38" s="1"/>
    </row>
    <row r="39" spans="1:9">
      <c r="A39" s="1"/>
    </row>
    <row r="40" spans="1:9">
      <c r="A40" s="1"/>
    </row>
    <row r="41" spans="1:9">
      <c r="A41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8D83-4445-2D48-9705-A678C73A13CF}">
  <dimension ref="A1:P65"/>
  <sheetViews>
    <sheetView workbookViewId="0">
      <selection activeCell="K4" sqref="K4:M12"/>
    </sheetView>
  </sheetViews>
  <sheetFormatPr baseColWidth="10" defaultRowHeight="21"/>
  <cols>
    <col min="11" max="11" width="21.75" customWidth="1"/>
    <col min="16" max="16" width="38" customWidth="1"/>
  </cols>
  <sheetData>
    <row r="1" spans="1:16" ht="22" thickBot="1">
      <c r="A1" t="s">
        <v>1</v>
      </c>
      <c r="C1">
        <v>22</v>
      </c>
      <c r="E1" t="s">
        <v>15</v>
      </c>
      <c r="F1" s="3" t="s">
        <v>0</v>
      </c>
      <c r="G1" s="3"/>
      <c r="H1" s="3"/>
    </row>
    <row r="2" spans="1:16" ht="22" thickBot="1">
      <c r="A2" t="s">
        <v>14</v>
      </c>
      <c r="C2" t="s">
        <v>0</v>
      </c>
      <c r="E2" t="s">
        <v>2</v>
      </c>
      <c r="F2" s="5">
        <v>3</v>
      </c>
      <c r="G2" s="5">
        <v>2</v>
      </c>
      <c r="H2" s="5">
        <v>1</v>
      </c>
    </row>
    <row r="3" spans="1:16">
      <c r="A3">
        <v>1</v>
      </c>
      <c r="C3">
        <v>21</v>
      </c>
      <c r="D3" s="2"/>
      <c r="E3" s="15">
        <f>C3*3/22</f>
        <v>2.8636363636363638</v>
      </c>
      <c r="F3" s="3">
        <f>IF(E3&gt;=2,1,0)</f>
        <v>1</v>
      </c>
      <c r="G3" s="3">
        <f>IF(E3&lt;2,IF(E3&gt;=1,1,0),0)</f>
        <v>0</v>
      </c>
      <c r="H3" s="3">
        <f>IF(E3&lt;1,1,0)</f>
        <v>0</v>
      </c>
    </row>
    <row r="4" spans="1:16">
      <c r="A4">
        <v>2</v>
      </c>
      <c r="C4">
        <v>0</v>
      </c>
      <c r="D4" s="2"/>
      <c r="E4" s="15">
        <f t="shared" ref="E4:E38" si="0">C4*3/22</f>
        <v>0</v>
      </c>
      <c r="F4" s="3">
        <f>IF(E4&gt;=2,1,0)</f>
        <v>0</v>
      </c>
      <c r="G4" s="3">
        <f>IF(E4&lt;2,IF(E4&gt;=1,1,0),0)</f>
        <v>0</v>
      </c>
      <c r="H4" s="3">
        <f>IF(E4&lt;1,1,0)</f>
        <v>1</v>
      </c>
      <c r="K4" t="s">
        <v>16</v>
      </c>
      <c r="L4">
        <f>COUNT(A3:A64)</f>
        <v>62</v>
      </c>
    </row>
    <row r="5" spans="1:16">
      <c r="A5">
        <v>3</v>
      </c>
      <c r="C5">
        <v>18</v>
      </c>
      <c r="D5" s="2"/>
      <c r="E5" s="15">
        <f t="shared" si="0"/>
        <v>2.4545454545454546</v>
      </c>
      <c r="F5" s="3">
        <f>IF(E5&gt;=2,1,0)</f>
        <v>1</v>
      </c>
      <c r="G5" s="3">
        <f>IF(E5&lt;2,IF(E5&gt;=1,1,0),0)</f>
        <v>0</v>
      </c>
      <c r="H5" s="3">
        <f>IF(E5&lt;1,1,0)</f>
        <v>0</v>
      </c>
    </row>
    <row r="6" spans="1:16">
      <c r="A6">
        <v>4</v>
      </c>
      <c r="C6">
        <v>17</v>
      </c>
      <c r="D6" s="2"/>
      <c r="E6" s="15">
        <f t="shared" si="0"/>
        <v>2.3181818181818183</v>
      </c>
      <c r="F6" s="3">
        <f>IF(E6&gt;=2,1,0)</f>
        <v>1</v>
      </c>
      <c r="G6" s="3">
        <f>IF(E6&lt;2,IF(E6&gt;=1,1,0),0)</f>
        <v>0</v>
      </c>
      <c r="H6" s="3">
        <f>IF(E6&lt;1,1,0)</f>
        <v>0</v>
      </c>
      <c r="K6" s="6" t="s">
        <v>4</v>
      </c>
      <c r="L6" s="7">
        <v>1</v>
      </c>
      <c r="M6" s="7">
        <v>2</v>
      </c>
      <c r="O6" s="12" t="s">
        <v>10</v>
      </c>
      <c r="P6" s="13" t="s">
        <v>11</v>
      </c>
    </row>
    <row r="7" spans="1:16">
      <c r="A7">
        <v>5</v>
      </c>
      <c r="C7">
        <v>13</v>
      </c>
      <c r="D7" s="2"/>
      <c r="E7" s="15">
        <f t="shared" si="0"/>
        <v>1.7727272727272727</v>
      </c>
      <c r="F7" s="3">
        <f>IF(E7&gt;=2,1,0)</f>
        <v>0</v>
      </c>
      <c r="G7" s="3">
        <f>IF(E7&lt;2,IF(E7&gt;=1,1,0),0)</f>
        <v>1</v>
      </c>
      <c r="H7" s="3">
        <f>IF(E7&lt;1,1,0)</f>
        <v>0</v>
      </c>
      <c r="K7" s="6"/>
      <c r="L7" s="8"/>
      <c r="M7" s="9"/>
      <c r="O7" s="12">
        <v>1</v>
      </c>
      <c r="P7" s="14" t="s">
        <v>12</v>
      </c>
    </row>
    <row r="8" spans="1:16">
      <c r="A8">
        <v>6</v>
      </c>
      <c r="C8">
        <v>15</v>
      </c>
      <c r="D8" s="2"/>
      <c r="E8" s="15">
        <f t="shared" si="0"/>
        <v>2.0454545454545454</v>
      </c>
      <c r="F8" s="3">
        <f>IF(E8&gt;=2,1,0)</f>
        <v>1</v>
      </c>
      <c r="G8" s="3">
        <f>IF(E8&lt;2,IF(E8&gt;=1,1,0),0)</f>
        <v>0</v>
      </c>
      <c r="H8" s="3">
        <f>IF(E8&lt;1,1,0)</f>
        <v>0</v>
      </c>
      <c r="K8" s="6" t="s">
        <v>5</v>
      </c>
      <c r="L8" s="8">
        <f>F65/L4</f>
        <v>0.62903225806451613</v>
      </c>
      <c r="M8" s="9">
        <f>L8</f>
        <v>0.62903225806451613</v>
      </c>
      <c r="O8" s="12">
        <v>2</v>
      </c>
      <c r="P8" s="14" t="s">
        <v>13</v>
      </c>
    </row>
    <row r="9" spans="1:16">
      <c r="A9">
        <v>7</v>
      </c>
      <c r="C9">
        <v>19</v>
      </c>
      <c r="D9" s="2"/>
      <c r="E9" s="15">
        <f t="shared" si="0"/>
        <v>2.5909090909090908</v>
      </c>
      <c r="F9" s="3">
        <f>IF(E9&gt;=2,1,0)</f>
        <v>1</v>
      </c>
      <c r="G9" s="3">
        <f>IF(E9&lt;2,IF(E9&gt;=1,1,0),0)</f>
        <v>0</v>
      </c>
      <c r="H9" s="3">
        <f>IF(E9&lt;1,1,0)</f>
        <v>0</v>
      </c>
      <c r="K9" s="6" t="s">
        <v>6</v>
      </c>
      <c r="L9" s="8">
        <f>G65/L4</f>
        <v>0.25806451612903225</v>
      </c>
      <c r="M9" s="9">
        <f>L9</f>
        <v>0.25806451612903225</v>
      </c>
    </row>
    <row r="10" spans="1:16">
      <c r="A10">
        <v>8</v>
      </c>
      <c r="C10">
        <v>5</v>
      </c>
      <c r="D10" s="2"/>
      <c r="E10" s="15">
        <f t="shared" si="0"/>
        <v>0.68181818181818177</v>
      </c>
      <c r="F10" s="3">
        <f>IF(E10&gt;=2,1,0)</f>
        <v>0</v>
      </c>
      <c r="G10" s="3">
        <f>IF(E10&lt;2,IF(E10&gt;=1,1,0),0)</f>
        <v>0</v>
      </c>
      <c r="H10" s="3">
        <f>IF(E10&lt;1,1,0)</f>
        <v>1</v>
      </c>
      <c r="K10" s="6" t="s">
        <v>7</v>
      </c>
      <c r="L10" s="8">
        <f>H65/L4</f>
        <v>0.11290322580645161</v>
      </c>
      <c r="M10" s="9">
        <f>L10</f>
        <v>0.11290322580645161</v>
      </c>
    </row>
    <row r="11" spans="1:16">
      <c r="A11">
        <v>9</v>
      </c>
      <c r="C11">
        <v>5</v>
      </c>
      <c r="D11" s="2"/>
      <c r="E11" s="15">
        <f t="shared" si="0"/>
        <v>0.68181818181818177</v>
      </c>
      <c r="F11" s="3">
        <f>IF(E11&gt;=2,1,0)</f>
        <v>0</v>
      </c>
      <c r="G11" s="3">
        <f>IF(E11&lt;2,IF(E11&gt;=1,1,0),0)</f>
        <v>0</v>
      </c>
      <c r="H11" s="3">
        <f>IF(E11&lt;1,1,0)</f>
        <v>1</v>
      </c>
      <c r="K11" s="6" t="s">
        <v>8</v>
      </c>
      <c r="L11" s="10">
        <f>AVERAGE(E3:E32)</f>
        <v>2.1954545454545458</v>
      </c>
      <c r="M11" s="10">
        <f>L11</f>
        <v>2.1954545454545458</v>
      </c>
    </row>
    <row r="12" spans="1:16">
      <c r="A12">
        <v>10</v>
      </c>
      <c r="C12">
        <v>13</v>
      </c>
      <c r="D12" s="2"/>
      <c r="E12" s="15">
        <f t="shared" si="0"/>
        <v>1.7727272727272727</v>
      </c>
      <c r="F12" s="3">
        <f>IF(E12&gt;=2,1,0)</f>
        <v>0</v>
      </c>
      <c r="G12" s="3">
        <f>IF(E12&lt;2,IF(E12&gt;=1,1,0),0)</f>
        <v>1</v>
      </c>
      <c r="H12" s="3">
        <f>IF(E12&lt;1,1,0)</f>
        <v>0</v>
      </c>
      <c r="K12" s="6" t="s">
        <v>9</v>
      </c>
      <c r="L12" s="10">
        <f>STDEV(E3:E32)</f>
        <v>0.74633616343543407</v>
      </c>
      <c r="M12" s="11">
        <f>L12</f>
        <v>0.74633616343543407</v>
      </c>
    </row>
    <row r="13" spans="1:16">
      <c r="A13">
        <v>11</v>
      </c>
      <c r="C13">
        <v>19</v>
      </c>
      <c r="D13" s="2"/>
      <c r="E13" s="15">
        <f t="shared" si="0"/>
        <v>2.5909090909090908</v>
      </c>
      <c r="F13" s="3">
        <f>IF(E13&gt;=2,1,0)</f>
        <v>1</v>
      </c>
      <c r="G13" s="3">
        <f>IF(E13&lt;2,IF(E13&gt;=1,1,0),0)</f>
        <v>0</v>
      </c>
      <c r="H13" s="3">
        <f>IF(E13&lt;1,1,0)</f>
        <v>0</v>
      </c>
    </row>
    <row r="14" spans="1:16">
      <c r="A14">
        <v>12</v>
      </c>
      <c r="C14">
        <v>18</v>
      </c>
      <c r="D14" s="2"/>
      <c r="E14" s="15">
        <f t="shared" si="0"/>
        <v>2.4545454545454546</v>
      </c>
      <c r="F14" s="3">
        <f>IF(E14&gt;=2,1,0)</f>
        <v>1</v>
      </c>
      <c r="G14" s="3">
        <f>IF(E14&lt;2,IF(E14&gt;=1,1,0),0)</f>
        <v>0</v>
      </c>
      <c r="H14" s="3">
        <f>IF(E14&lt;1,1,0)</f>
        <v>0</v>
      </c>
    </row>
    <row r="15" spans="1:16">
      <c r="A15">
        <v>13</v>
      </c>
      <c r="C15">
        <v>18</v>
      </c>
      <c r="D15" s="2"/>
      <c r="E15" s="15">
        <f t="shared" si="0"/>
        <v>2.4545454545454546</v>
      </c>
      <c r="F15" s="3">
        <f>IF(E15&gt;=2,1,0)</f>
        <v>1</v>
      </c>
      <c r="G15" s="3">
        <f>IF(E15&lt;2,IF(E15&gt;=1,1,0),0)</f>
        <v>0</v>
      </c>
      <c r="H15" s="3">
        <f>IF(E15&lt;1,1,0)</f>
        <v>0</v>
      </c>
      <c r="K15" s="4"/>
    </row>
    <row r="16" spans="1:16">
      <c r="A16">
        <v>14</v>
      </c>
      <c r="C16">
        <v>20</v>
      </c>
      <c r="D16" s="2"/>
      <c r="E16" s="16">
        <f t="shared" si="0"/>
        <v>2.7272727272727271</v>
      </c>
      <c r="F16" s="3">
        <f>IF(E16&gt;=2,1,0)</f>
        <v>1</v>
      </c>
      <c r="G16" s="3">
        <f>IF(E16&lt;2,IF(E16&gt;=1,1,0),0)</f>
        <v>0</v>
      </c>
      <c r="H16" s="3">
        <f>IF(E16&lt;1,1,0)</f>
        <v>0</v>
      </c>
    </row>
    <row r="17" spans="1:8">
      <c r="A17">
        <v>15</v>
      </c>
      <c r="C17">
        <v>15</v>
      </c>
      <c r="D17" s="2"/>
      <c r="E17" s="15">
        <f t="shared" si="0"/>
        <v>2.0454545454545454</v>
      </c>
      <c r="F17" s="3">
        <f>IF(E17&gt;=2,1,0)</f>
        <v>1</v>
      </c>
      <c r="G17" s="3">
        <f>IF(E17&lt;2,IF(E17&gt;=1,1,0),0)</f>
        <v>0</v>
      </c>
      <c r="H17" s="3">
        <f>IF(E17&lt;1,1,0)</f>
        <v>0</v>
      </c>
    </row>
    <row r="18" spans="1:8">
      <c r="A18">
        <v>16</v>
      </c>
      <c r="C18">
        <v>20</v>
      </c>
      <c r="D18" s="2"/>
      <c r="E18" s="15">
        <f t="shared" si="0"/>
        <v>2.7272727272727271</v>
      </c>
      <c r="F18" s="3">
        <f>IF(E18&gt;=2,1,0)</f>
        <v>1</v>
      </c>
      <c r="G18" s="3">
        <f>IF(E18&lt;2,IF(E18&gt;=1,1,0),0)</f>
        <v>0</v>
      </c>
      <c r="H18" s="3">
        <f>IF(E18&lt;1,1,0)</f>
        <v>0</v>
      </c>
    </row>
    <row r="19" spans="1:8">
      <c r="A19">
        <v>17</v>
      </c>
      <c r="C19">
        <v>14</v>
      </c>
      <c r="D19" s="2"/>
      <c r="E19" s="15">
        <f t="shared" si="0"/>
        <v>1.9090909090909092</v>
      </c>
      <c r="F19" s="3">
        <f>IF(E19&gt;=2,1,0)</f>
        <v>0</v>
      </c>
      <c r="G19" s="3">
        <f>IF(E19&lt;2,IF(E19&gt;=1,1,0),0)</f>
        <v>1</v>
      </c>
      <c r="H19" s="3">
        <f>IF(E19&lt;1,1,0)</f>
        <v>0</v>
      </c>
    </row>
    <row r="20" spans="1:8">
      <c r="A20">
        <v>18</v>
      </c>
      <c r="C20">
        <v>20</v>
      </c>
      <c r="D20" s="2"/>
      <c r="E20" s="15">
        <f t="shared" si="0"/>
        <v>2.7272727272727271</v>
      </c>
      <c r="F20" s="3">
        <f>IF(E20&gt;=2,1,0)</f>
        <v>1</v>
      </c>
      <c r="G20" s="3">
        <f>IF(E20&lt;2,IF(E20&gt;=1,1,0),0)</f>
        <v>0</v>
      </c>
      <c r="H20" s="3">
        <f>IF(E20&lt;1,1,0)</f>
        <v>0</v>
      </c>
    </row>
    <row r="21" spans="1:8">
      <c r="A21">
        <v>19</v>
      </c>
      <c r="C21">
        <v>19</v>
      </c>
      <c r="D21" s="2"/>
      <c r="E21" s="15">
        <f t="shared" si="0"/>
        <v>2.5909090909090908</v>
      </c>
      <c r="F21" s="3">
        <f>IF(E21&gt;=2,1,0)</f>
        <v>1</v>
      </c>
      <c r="G21" s="3">
        <f>IF(E21&lt;2,IF(E21&gt;=1,1,0),0)</f>
        <v>0</v>
      </c>
      <c r="H21" s="3">
        <f>IF(E21&lt;1,1,0)</f>
        <v>0</v>
      </c>
    </row>
    <row r="22" spans="1:8">
      <c r="A22">
        <v>20</v>
      </c>
      <c r="C22">
        <v>19</v>
      </c>
      <c r="D22" s="2"/>
      <c r="E22" s="15">
        <f t="shared" si="0"/>
        <v>2.5909090909090908</v>
      </c>
      <c r="F22" s="3">
        <f>IF(E22&gt;=2,1,0)</f>
        <v>1</v>
      </c>
      <c r="G22" s="3">
        <f>IF(E22&lt;2,IF(E22&gt;=1,1,0),0)</f>
        <v>0</v>
      </c>
      <c r="H22" s="3">
        <f>IF(E22&lt;1,1,0)</f>
        <v>0</v>
      </c>
    </row>
    <row r="23" spans="1:8">
      <c r="A23">
        <v>21</v>
      </c>
      <c r="C23">
        <v>19</v>
      </c>
      <c r="D23" s="2"/>
      <c r="E23" s="15">
        <f t="shared" si="0"/>
        <v>2.5909090909090908</v>
      </c>
      <c r="F23" s="3">
        <f>IF(E23&gt;=2,1,0)</f>
        <v>1</v>
      </c>
      <c r="G23" s="3">
        <f>IF(E23&lt;2,IF(E23&gt;=1,1,0),0)</f>
        <v>0</v>
      </c>
      <c r="H23" s="3">
        <f>IF(E23&lt;1,1,0)</f>
        <v>0</v>
      </c>
    </row>
    <row r="24" spans="1:8">
      <c r="A24">
        <v>22</v>
      </c>
      <c r="C24">
        <v>7</v>
      </c>
      <c r="D24" s="2"/>
      <c r="E24" s="15">
        <f t="shared" si="0"/>
        <v>0.95454545454545459</v>
      </c>
      <c r="F24" s="3">
        <f>IF(E24&gt;=2,1,0)</f>
        <v>0</v>
      </c>
      <c r="G24" s="3">
        <f>IF(E24&lt;2,IF(E24&gt;=1,1,0),0)</f>
        <v>0</v>
      </c>
      <c r="H24" s="3">
        <f>IF(E24&lt;1,1,0)</f>
        <v>1</v>
      </c>
    </row>
    <row r="25" spans="1:8">
      <c r="A25">
        <v>23</v>
      </c>
      <c r="C25">
        <v>17</v>
      </c>
      <c r="D25" s="2"/>
      <c r="E25" s="15">
        <f t="shared" si="0"/>
        <v>2.3181818181818183</v>
      </c>
      <c r="F25" s="3">
        <f>IF(E25&gt;=2,1,0)</f>
        <v>1</v>
      </c>
      <c r="G25" s="3">
        <f>IF(E25&lt;2,IF(E25&gt;=1,1,0),0)</f>
        <v>0</v>
      </c>
      <c r="H25" s="3">
        <f>IF(E25&lt;1,1,0)</f>
        <v>0</v>
      </c>
    </row>
    <row r="26" spans="1:8">
      <c r="A26">
        <v>24</v>
      </c>
      <c r="C26">
        <v>20</v>
      </c>
      <c r="D26" s="2"/>
      <c r="E26" s="15">
        <f t="shared" si="0"/>
        <v>2.7272727272727271</v>
      </c>
      <c r="F26" s="3">
        <f>IF(E26&gt;=2,1,0)</f>
        <v>1</v>
      </c>
      <c r="G26" s="3">
        <f>IF(E26&lt;2,IF(E26&gt;=1,1,0),0)</f>
        <v>0</v>
      </c>
      <c r="H26" s="3">
        <f>IF(E26&lt;1,1,0)</f>
        <v>0</v>
      </c>
    </row>
    <row r="27" spans="1:8">
      <c r="A27">
        <v>25</v>
      </c>
      <c r="C27">
        <v>21</v>
      </c>
      <c r="D27" s="2"/>
      <c r="E27" s="15">
        <f t="shared" si="0"/>
        <v>2.8636363636363638</v>
      </c>
      <c r="F27" s="3">
        <f>IF(E27&gt;=2,1,0)</f>
        <v>1</v>
      </c>
      <c r="G27" s="3">
        <f>IF(E27&lt;2,IF(E27&gt;=1,1,0),0)</f>
        <v>0</v>
      </c>
      <c r="H27" s="3">
        <f>IF(E27&lt;1,1,0)</f>
        <v>0</v>
      </c>
    </row>
    <row r="28" spans="1:8">
      <c r="A28">
        <v>26</v>
      </c>
      <c r="C28">
        <v>18</v>
      </c>
      <c r="D28" s="2"/>
      <c r="E28" s="15">
        <f t="shared" si="0"/>
        <v>2.4545454545454546</v>
      </c>
      <c r="F28" s="3">
        <f>IF(E28&gt;=2,1,0)</f>
        <v>1</v>
      </c>
      <c r="G28" s="3">
        <f>IF(E28&lt;2,IF(E28&gt;=1,1,0),0)</f>
        <v>0</v>
      </c>
      <c r="H28" s="3">
        <f>IF(E28&lt;1,1,0)</f>
        <v>0</v>
      </c>
    </row>
    <row r="29" spans="1:8">
      <c r="A29">
        <v>27</v>
      </c>
      <c r="C29">
        <v>17</v>
      </c>
      <c r="D29" s="2"/>
      <c r="E29" s="15">
        <f t="shared" si="0"/>
        <v>2.3181818181818183</v>
      </c>
      <c r="F29" s="3">
        <f>IF(E29&gt;=2,1,0)</f>
        <v>1</v>
      </c>
      <c r="G29" s="3">
        <f>IF(E29&lt;2,IF(E29&gt;=1,1,0),0)</f>
        <v>0</v>
      </c>
      <c r="H29" s="3">
        <f>IF(E29&lt;1,1,0)</f>
        <v>0</v>
      </c>
    </row>
    <row r="30" spans="1:8">
      <c r="A30">
        <v>28</v>
      </c>
      <c r="C30">
        <v>22</v>
      </c>
      <c r="D30" s="2"/>
      <c r="E30" s="15">
        <f t="shared" si="0"/>
        <v>3</v>
      </c>
      <c r="F30" s="3">
        <f>IF(E30&gt;=2,1,0)</f>
        <v>1</v>
      </c>
      <c r="G30" s="3">
        <f>IF(E30&lt;2,IF(E30&gt;=1,1,0),0)</f>
        <v>0</v>
      </c>
      <c r="H30" s="3">
        <f>IF(E30&lt;1,1,0)</f>
        <v>0</v>
      </c>
    </row>
    <row r="31" spans="1:8">
      <c r="A31">
        <v>29</v>
      </c>
      <c r="C31">
        <v>22</v>
      </c>
      <c r="D31" s="2"/>
      <c r="E31" s="15">
        <f t="shared" si="0"/>
        <v>3</v>
      </c>
      <c r="F31" s="3">
        <f>IF(E31&gt;=2,1,0)</f>
        <v>1</v>
      </c>
      <c r="G31" s="3">
        <f>IF(E31&lt;2,IF(E31&gt;=1,1,0),0)</f>
        <v>0</v>
      </c>
      <c r="H31" s="3">
        <f>IF(E31&lt;1,1,0)</f>
        <v>0</v>
      </c>
    </row>
    <row r="32" spans="1:8">
      <c r="A32">
        <v>30</v>
      </c>
      <c r="C32">
        <v>12</v>
      </c>
      <c r="D32" s="2"/>
      <c r="E32" s="15">
        <f t="shared" si="0"/>
        <v>1.6363636363636365</v>
      </c>
      <c r="F32" s="3">
        <f>IF(E32&gt;=2,1,0)</f>
        <v>0</v>
      </c>
      <c r="G32" s="3">
        <f>IF(E32&lt;2,IF(E32&gt;=1,1,0),0)</f>
        <v>1</v>
      </c>
      <c r="H32" s="3">
        <f>IF(E32&lt;1,1,0)</f>
        <v>0</v>
      </c>
    </row>
    <row r="33" spans="1:8">
      <c r="A33">
        <v>31</v>
      </c>
      <c r="C33">
        <v>19</v>
      </c>
      <c r="E33" s="15">
        <f t="shared" si="0"/>
        <v>2.5909090909090908</v>
      </c>
      <c r="F33" s="3">
        <f>IF(E33&gt;=2,1,0)</f>
        <v>1</v>
      </c>
      <c r="G33" s="3">
        <f>IF(E33&lt;2,IF(E33&gt;=1,1,0),0)</f>
        <v>0</v>
      </c>
      <c r="H33" s="3">
        <f>IF(E33&lt;1,1,0)</f>
        <v>0</v>
      </c>
    </row>
    <row r="34" spans="1:8">
      <c r="A34">
        <v>32</v>
      </c>
      <c r="C34">
        <v>12</v>
      </c>
      <c r="E34" s="15">
        <f t="shared" si="0"/>
        <v>1.6363636363636365</v>
      </c>
      <c r="F34" s="3">
        <f>IF(E34&gt;=2,1,0)</f>
        <v>0</v>
      </c>
      <c r="G34" s="3">
        <f>IF(E34&lt;2,IF(E34&gt;=1,1,0),0)</f>
        <v>1</v>
      </c>
      <c r="H34" s="3">
        <f>IF(E34&lt;1,1,0)</f>
        <v>0</v>
      </c>
    </row>
    <row r="35" spans="1:8">
      <c r="A35">
        <v>33</v>
      </c>
      <c r="C35">
        <v>18</v>
      </c>
      <c r="E35" s="15">
        <f t="shared" si="0"/>
        <v>2.4545454545454546</v>
      </c>
      <c r="F35" s="3">
        <f>IF(E35&gt;=2,1,0)</f>
        <v>1</v>
      </c>
      <c r="G35" s="3">
        <f>IF(E35&lt;2,IF(E35&gt;=1,1,0),0)</f>
        <v>0</v>
      </c>
      <c r="H35" s="3">
        <f>IF(E35&lt;1,1,0)</f>
        <v>0</v>
      </c>
    </row>
    <row r="36" spans="1:8">
      <c r="A36">
        <v>34</v>
      </c>
      <c r="C36">
        <v>18</v>
      </c>
      <c r="E36" s="15">
        <f t="shared" si="0"/>
        <v>2.4545454545454546</v>
      </c>
      <c r="F36" s="3">
        <f>IF(E36&gt;=2,1,0)</f>
        <v>1</v>
      </c>
      <c r="G36" s="3">
        <f>IF(E36&lt;2,IF(E36&gt;=1,1,0),0)</f>
        <v>0</v>
      </c>
      <c r="H36" s="3">
        <f>IF(E36&lt;1,1,0)</f>
        <v>0</v>
      </c>
    </row>
    <row r="37" spans="1:8">
      <c r="A37">
        <v>35</v>
      </c>
      <c r="C37">
        <v>21</v>
      </c>
      <c r="E37" s="15">
        <f t="shared" si="0"/>
        <v>2.8636363636363638</v>
      </c>
      <c r="F37" s="3">
        <f>IF(E37&gt;=2,1,0)</f>
        <v>1</v>
      </c>
      <c r="G37" s="3">
        <f>IF(E37&lt;2,IF(E37&gt;=1,1,0),0)</f>
        <v>0</v>
      </c>
      <c r="H37" s="3">
        <f>IF(E37&lt;1,1,0)</f>
        <v>0</v>
      </c>
    </row>
    <row r="38" spans="1:8">
      <c r="A38">
        <v>36</v>
      </c>
      <c r="C38">
        <v>14</v>
      </c>
      <c r="E38" s="15">
        <f t="shared" si="0"/>
        <v>1.9090909090909092</v>
      </c>
      <c r="F38" s="3">
        <f>IF(E38&gt;=2,1,0)</f>
        <v>0</v>
      </c>
      <c r="G38" s="3">
        <f>IF(E38&lt;2,IF(E38&gt;=1,1,0),0)</f>
        <v>1</v>
      </c>
      <c r="H38" s="3">
        <f>IF(E38&lt;1,1,0)</f>
        <v>0</v>
      </c>
    </row>
    <row r="39" spans="1:8">
      <c r="A39">
        <v>37</v>
      </c>
      <c r="C39">
        <v>21</v>
      </c>
      <c r="E39" s="15">
        <f t="shared" ref="E39:E64" si="1">C39*3/22</f>
        <v>2.8636363636363638</v>
      </c>
      <c r="F39" s="3">
        <f>IF(E39&gt;=2,1,0)</f>
        <v>1</v>
      </c>
      <c r="G39" s="3">
        <f>IF(E39&lt;2,IF(E39&gt;=1,1,0),0)</f>
        <v>0</v>
      </c>
      <c r="H39" s="3">
        <f>IF(E39&lt;1,1,0)</f>
        <v>0</v>
      </c>
    </row>
    <row r="40" spans="1:8">
      <c r="A40">
        <v>38</v>
      </c>
      <c r="C40">
        <v>8</v>
      </c>
      <c r="E40" s="15">
        <f t="shared" si="1"/>
        <v>1.0909090909090908</v>
      </c>
      <c r="F40" s="3">
        <f>IF(E40&gt;=2,1,0)</f>
        <v>0</v>
      </c>
      <c r="G40" s="3">
        <f>IF(E40&lt;2,IF(E40&gt;=1,1,0),0)</f>
        <v>1</v>
      </c>
      <c r="H40" s="3">
        <f>IF(E40&lt;1,1,0)</f>
        <v>0</v>
      </c>
    </row>
    <row r="41" spans="1:8">
      <c r="A41">
        <v>39</v>
      </c>
      <c r="C41">
        <v>16</v>
      </c>
      <c r="E41" s="15">
        <f t="shared" si="1"/>
        <v>2.1818181818181817</v>
      </c>
      <c r="F41" s="3">
        <f>IF(E41&gt;=2,1,0)</f>
        <v>1</v>
      </c>
      <c r="G41" s="3">
        <f>IF(E41&lt;2,IF(E41&gt;=1,1,0),0)</f>
        <v>0</v>
      </c>
      <c r="H41" s="3">
        <f>IF(E41&lt;1,1,0)</f>
        <v>0</v>
      </c>
    </row>
    <row r="42" spans="1:8">
      <c r="A42">
        <v>40</v>
      </c>
      <c r="C42">
        <v>12</v>
      </c>
      <c r="E42" s="15">
        <f t="shared" si="1"/>
        <v>1.6363636363636365</v>
      </c>
      <c r="F42" s="3">
        <f>IF(E42&gt;=2,1,0)</f>
        <v>0</v>
      </c>
      <c r="G42" s="3">
        <f>IF(E42&lt;2,IF(E42&gt;=1,1,0),0)</f>
        <v>1</v>
      </c>
      <c r="H42" s="3">
        <f>IF(E42&lt;1,1,0)</f>
        <v>0</v>
      </c>
    </row>
    <row r="43" spans="1:8">
      <c r="A43">
        <v>41</v>
      </c>
      <c r="C43">
        <v>6</v>
      </c>
      <c r="E43" s="15">
        <f t="shared" si="1"/>
        <v>0.81818181818181823</v>
      </c>
      <c r="F43" s="3">
        <f>IF(E43&gt;=2,1,0)</f>
        <v>0</v>
      </c>
      <c r="G43" s="3">
        <f>IF(E43&lt;2,IF(E43&gt;=1,1,0),0)</f>
        <v>0</v>
      </c>
      <c r="H43" s="3">
        <f>IF(E43&lt;1,1,0)</f>
        <v>1</v>
      </c>
    </row>
    <row r="44" spans="1:8">
      <c r="A44">
        <v>42</v>
      </c>
      <c r="C44">
        <v>17</v>
      </c>
      <c r="E44" s="15">
        <f t="shared" si="1"/>
        <v>2.3181818181818183</v>
      </c>
      <c r="F44" s="3">
        <f>IF(E44&gt;=2,1,0)</f>
        <v>1</v>
      </c>
      <c r="G44" s="3">
        <f>IF(E44&lt;2,IF(E44&gt;=1,1,0),0)</f>
        <v>0</v>
      </c>
      <c r="H44" s="3">
        <f>IF(E44&lt;1,1,0)</f>
        <v>0</v>
      </c>
    </row>
    <row r="45" spans="1:8">
      <c r="A45">
        <v>43</v>
      </c>
      <c r="C45">
        <v>14</v>
      </c>
      <c r="E45" s="15">
        <f t="shared" si="1"/>
        <v>1.9090909090909092</v>
      </c>
      <c r="F45" s="3">
        <f>IF(E45&gt;=2,1,0)</f>
        <v>0</v>
      </c>
      <c r="G45" s="3">
        <f>IF(E45&lt;2,IF(E45&gt;=1,1,0),0)</f>
        <v>1</v>
      </c>
      <c r="H45" s="3">
        <f>IF(E45&lt;1,1,0)</f>
        <v>0</v>
      </c>
    </row>
    <row r="46" spans="1:8">
      <c r="A46">
        <v>44</v>
      </c>
      <c r="C46">
        <v>19</v>
      </c>
      <c r="E46" s="15">
        <f t="shared" si="1"/>
        <v>2.5909090909090908</v>
      </c>
      <c r="F46" s="3">
        <f>IF(E46&gt;=2,1,0)</f>
        <v>1</v>
      </c>
      <c r="G46" s="3">
        <f>IF(E46&lt;2,IF(E46&gt;=1,1,0),0)</f>
        <v>0</v>
      </c>
      <c r="H46" s="3">
        <f>IF(E46&lt;1,1,0)</f>
        <v>0</v>
      </c>
    </row>
    <row r="47" spans="1:8">
      <c r="A47">
        <v>45</v>
      </c>
      <c r="C47">
        <v>11</v>
      </c>
      <c r="E47" s="15">
        <f t="shared" si="1"/>
        <v>1.5</v>
      </c>
      <c r="F47" s="3">
        <f>IF(E47&gt;=2,1,0)</f>
        <v>0</v>
      </c>
      <c r="G47" s="3">
        <f>IF(E47&lt;2,IF(E47&gt;=1,1,0),0)</f>
        <v>1</v>
      </c>
      <c r="H47" s="3">
        <f>IF(E47&lt;1,1,0)</f>
        <v>0</v>
      </c>
    </row>
    <row r="48" spans="1:8">
      <c r="A48">
        <v>46</v>
      </c>
      <c r="C48">
        <v>22</v>
      </c>
      <c r="E48" s="15">
        <f t="shared" si="1"/>
        <v>3</v>
      </c>
      <c r="F48" s="3">
        <f>IF(E48&gt;=2,1,0)</f>
        <v>1</v>
      </c>
      <c r="G48" s="3">
        <f>IF(E48&lt;2,IF(E48&gt;=1,1,0),0)</f>
        <v>0</v>
      </c>
      <c r="H48" s="3">
        <f>IF(E48&lt;1,1,0)</f>
        <v>0</v>
      </c>
    </row>
    <row r="49" spans="1:8">
      <c r="A49">
        <v>47</v>
      </c>
      <c r="C49">
        <v>18</v>
      </c>
      <c r="E49" s="15">
        <f t="shared" si="1"/>
        <v>2.4545454545454546</v>
      </c>
      <c r="F49" s="3">
        <f>IF(E49&gt;=2,1,0)</f>
        <v>1</v>
      </c>
      <c r="G49" s="3">
        <f>IF(E49&lt;2,IF(E49&gt;=1,1,0),0)</f>
        <v>0</v>
      </c>
      <c r="H49" s="3">
        <f>IF(E49&lt;1,1,0)</f>
        <v>0</v>
      </c>
    </row>
    <row r="50" spans="1:8">
      <c r="A50">
        <v>48</v>
      </c>
      <c r="C50">
        <v>17</v>
      </c>
      <c r="E50" s="15">
        <f t="shared" si="1"/>
        <v>2.3181818181818183</v>
      </c>
      <c r="F50" s="3">
        <f>IF(E50&gt;=2,1,0)</f>
        <v>1</v>
      </c>
      <c r="G50" s="3">
        <f>IF(E50&lt;2,IF(E50&gt;=1,1,0),0)</f>
        <v>0</v>
      </c>
      <c r="H50" s="3">
        <f>IF(E50&lt;1,1,0)</f>
        <v>0</v>
      </c>
    </row>
    <row r="51" spans="1:8">
      <c r="A51">
        <v>49</v>
      </c>
      <c r="C51">
        <v>14</v>
      </c>
      <c r="E51" s="15">
        <f t="shared" si="1"/>
        <v>1.9090909090909092</v>
      </c>
      <c r="F51" s="3">
        <f>IF(E51&gt;=2,1,0)</f>
        <v>0</v>
      </c>
      <c r="G51" s="3">
        <f>IF(E51&lt;2,IF(E51&gt;=1,1,0),0)</f>
        <v>1</v>
      </c>
      <c r="H51" s="3">
        <f>IF(E51&lt;1,1,0)</f>
        <v>0</v>
      </c>
    </row>
    <row r="52" spans="1:8">
      <c r="A52">
        <v>50</v>
      </c>
      <c r="C52">
        <v>17</v>
      </c>
      <c r="E52" s="15">
        <f t="shared" si="1"/>
        <v>2.3181818181818183</v>
      </c>
      <c r="F52" s="3">
        <f>IF(E52&gt;=2,1,0)</f>
        <v>1</v>
      </c>
      <c r="G52" s="3">
        <f>IF(E52&lt;2,IF(E52&gt;=1,1,0),0)</f>
        <v>0</v>
      </c>
      <c r="H52" s="3">
        <f>IF(E52&lt;1,1,0)</f>
        <v>0</v>
      </c>
    </row>
    <row r="53" spans="1:8">
      <c r="A53">
        <v>51</v>
      </c>
      <c r="C53">
        <v>13</v>
      </c>
      <c r="E53" s="15">
        <f t="shared" si="1"/>
        <v>1.7727272727272727</v>
      </c>
      <c r="F53" s="3">
        <f>IF(E53&gt;=2,1,0)</f>
        <v>0</v>
      </c>
      <c r="G53" s="3">
        <f>IF(E53&lt;2,IF(E53&gt;=1,1,0),0)</f>
        <v>1</v>
      </c>
      <c r="H53" s="3">
        <f>IF(E53&lt;1,1,0)</f>
        <v>0</v>
      </c>
    </row>
    <row r="54" spans="1:8">
      <c r="A54">
        <v>52</v>
      </c>
      <c r="C54">
        <v>19</v>
      </c>
      <c r="E54" s="15">
        <f t="shared" si="1"/>
        <v>2.5909090909090908</v>
      </c>
      <c r="F54" s="3">
        <f>IF(E54&gt;=2,1,0)</f>
        <v>1</v>
      </c>
      <c r="G54" s="3">
        <f>IF(E54&lt;2,IF(E54&gt;=1,1,0),0)</f>
        <v>0</v>
      </c>
      <c r="H54" s="3">
        <f>IF(E54&lt;1,1,0)</f>
        <v>0</v>
      </c>
    </row>
    <row r="55" spans="1:8">
      <c r="A55">
        <v>53</v>
      </c>
      <c r="C55">
        <v>20</v>
      </c>
      <c r="E55" s="15">
        <f t="shared" si="1"/>
        <v>2.7272727272727271</v>
      </c>
      <c r="F55" s="3">
        <f>IF(E55&gt;=2,1,0)</f>
        <v>1</v>
      </c>
      <c r="G55" s="3">
        <f>IF(E55&lt;2,IF(E55&gt;=1,1,0),0)</f>
        <v>0</v>
      </c>
      <c r="H55" s="3">
        <f>IF(E55&lt;1,1,0)</f>
        <v>0</v>
      </c>
    </row>
    <row r="56" spans="1:8">
      <c r="A56">
        <v>54</v>
      </c>
      <c r="C56">
        <v>13</v>
      </c>
      <c r="E56" s="15">
        <f t="shared" si="1"/>
        <v>1.7727272727272727</v>
      </c>
      <c r="F56" s="3">
        <f>IF(E56&gt;=2,1,0)</f>
        <v>0</v>
      </c>
      <c r="G56" s="3">
        <f>IF(E56&lt;2,IF(E56&gt;=1,1,0),0)</f>
        <v>1</v>
      </c>
      <c r="H56" s="3">
        <f>IF(E56&lt;1,1,0)</f>
        <v>0</v>
      </c>
    </row>
    <row r="57" spans="1:8">
      <c r="A57">
        <v>55</v>
      </c>
      <c r="C57">
        <v>6</v>
      </c>
      <c r="E57" s="15">
        <f t="shared" si="1"/>
        <v>0.81818181818181823</v>
      </c>
      <c r="F57" s="3">
        <f>IF(E57&gt;=2,1,0)</f>
        <v>0</v>
      </c>
      <c r="G57" s="3">
        <f>IF(E57&lt;2,IF(E57&gt;=1,1,0),0)</f>
        <v>0</v>
      </c>
      <c r="H57" s="3">
        <f>IF(E57&lt;1,1,0)</f>
        <v>1</v>
      </c>
    </row>
    <row r="58" spans="1:8">
      <c r="A58">
        <v>56</v>
      </c>
      <c r="C58">
        <v>11</v>
      </c>
      <c r="E58" s="15">
        <f t="shared" si="1"/>
        <v>1.5</v>
      </c>
      <c r="F58" s="3">
        <f>IF(E58&gt;=2,1,0)</f>
        <v>0</v>
      </c>
      <c r="G58" s="3">
        <f>IF(E58&lt;2,IF(E58&gt;=1,1,0),0)</f>
        <v>1</v>
      </c>
      <c r="H58" s="3">
        <f>IF(E58&lt;1,1,0)</f>
        <v>0</v>
      </c>
    </row>
    <row r="59" spans="1:8">
      <c r="A59">
        <v>57</v>
      </c>
      <c r="C59">
        <v>4</v>
      </c>
      <c r="E59" s="15">
        <f t="shared" si="1"/>
        <v>0.54545454545454541</v>
      </c>
      <c r="F59" s="3">
        <f>IF(E59&gt;=2,1,0)</f>
        <v>0</v>
      </c>
      <c r="G59" s="3">
        <f>IF(E59&lt;2,IF(E59&gt;=1,1,0),0)</f>
        <v>0</v>
      </c>
      <c r="H59" s="3">
        <f>IF(E59&lt;1,1,0)</f>
        <v>1</v>
      </c>
    </row>
    <row r="60" spans="1:8">
      <c r="A60">
        <v>58</v>
      </c>
      <c r="C60">
        <v>12</v>
      </c>
      <c r="E60" s="15">
        <f t="shared" si="1"/>
        <v>1.6363636363636365</v>
      </c>
      <c r="F60" s="3">
        <f>IF(E60&gt;=2,1,0)</f>
        <v>0</v>
      </c>
      <c r="G60" s="3">
        <f>IF(E60&lt;2,IF(E60&gt;=1,1,0),0)</f>
        <v>1</v>
      </c>
      <c r="H60" s="3">
        <f>IF(E60&lt;1,1,0)</f>
        <v>0</v>
      </c>
    </row>
    <row r="61" spans="1:8">
      <c r="A61">
        <v>59</v>
      </c>
      <c r="C61">
        <v>15</v>
      </c>
      <c r="E61" s="15">
        <f t="shared" si="1"/>
        <v>2.0454545454545454</v>
      </c>
      <c r="F61" s="3">
        <f>IF(E61&gt;=2,1,0)</f>
        <v>1</v>
      </c>
      <c r="G61" s="3">
        <f>IF(E61&lt;2,IF(E61&gt;=1,1,0),0)</f>
        <v>0</v>
      </c>
      <c r="H61" s="3">
        <f>IF(E61&lt;1,1,0)</f>
        <v>0</v>
      </c>
    </row>
    <row r="62" spans="1:8">
      <c r="A62">
        <v>60</v>
      </c>
      <c r="C62">
        <v>19</v>
      </c>
      <c r="E62" s="15">
        <f t="shared" si="1"/>
        <v>2.5909090909090908</v>
      </c>
      <c r="F62" s="3">
        <f>IF(E62&gt;=2,1,0)</f>
        <v>1</v>
      </c>
      <c r="G62" s="3">
        <f>IF(E62&lt;2,IF(E62&gt;=1,1,0),0)</f>
        <v>0</v>
      </c>
      <c r="H62" s="3">
        <f>IF(E62&lt;1,1,0)</f>
        <v>0</v>
      </c>
    </row>
    <row r="63" spans="1:8">
      <c r="A63">
        <v>61</v>
      </c>
      <c r="C63">
        <v>19</v>
      </c>
      <c r="E63" s="15">
        <f t="shared" si="1"/>
        <v>2.5909090909090908</v>
      </c>
      <c r="F63" s="3">
        <f>IF(E63&gt;=2,1,0)</f>
        <v>1</v>
      </c>
      <c r="G63" s="3">
        <f>IF(E63&lt;2,IF(E63&gt;=1,1,0),0)</f>
        <v>0</v>
      </c>
      <c r="H63" s="3">
        <f>IF(E63&lt;1,1,0)</f>
        <v>0</v>
      </c>
    </row>
    <row r="64" spans="1:8">
      <c r="A64">
        <v>62</v>
      </c>
      <c r="C64">
        <v>11</v>
      </c>
      <c r="E64" s="15">
        <f t="shared" si="1"/>
        <v>1.5</v>
      </c>
      <c r="F64" s="3">
        <f>IF(E64&gt;=2,1,0)</f>
        <v>0</v>
      </c>
      <c r="G64" s="3">
        <f>IF(E64&lt;2,IF(E64&gt;=1,1,0),0)</f>
        <v>1</v>
      </c>
      <c r="H64" s="3">
        <f>IF(E64&lt;1,1,0)</f>
        <v>0</v>
      </c>
    </row>
    <row r="65" spans="5:9">
      <c r="E65" t="s">
        <v>3</v>
      </c>
      <c r="F65" s="3">
        <f>SUM(F3:F64)</f>
        <v>39</v>
      </c>
      <c r="G65" s="3">
        <f>SUM(G3:G64)</f>
        <v>16</v>
      </c>
      <c r="H65" s="3">
        <f>SUM(H3:H64)</f>
        <v>7</v>
      </c>
      <c r="I65" s="3">
        <f>SUM(F65:H65)</f>
        <v>62</v>
      </c>
    </row>
  </sheetData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C82A-4A73-1240-B0FF-9B5F6AA73559}">
  <dimension ref="A1:P45"/>
  <sheetViews>
    <sheetView workbookViewId="0">
      <selection activeCell="K4" sqref="K4:M12"/>
    </sheetView>
  </sheetViews>
  <sheetFormatPr baseColWidth="10" defaultRowHeight="21"/>
  <cols>
    <col min="11" max="11" width="21.75" customWidth="1"/>
    <col min="16" max="16" width="38" customWidth="1"/>
  </cols>
  <sheetData>
    <row r="1" spans="1:16" ht="22" thickBot="1">
      <c r="A1" t="s">
        <v>1</v>
      </c>
      <c r="C1">
        <v>22</v>
      </c>
      <c r="E1" t="s">
        <v>15</v>
      </c>
      <c r="F1" s="3" t="s">
        <v>0</v>
      </c>
      <c r="G1" s="3"/>
      <c r="H1" s="3"/>
    </row>
    <row r="2" spans="1:16" ht="22" thickBot="1">
      <c r="A2" t="s">
        <v>14</v>
      </c>
      <c r="C2" t="s">
        <v>0</v>
      </c>
      <c r="E2" t="s">
        <v>2</v>
      </c>
      <c r="F2" s="5">
        <v>3</v>
      </c>
      <c r="G2" s="5">
        <v>2</v>
      </c>
      <c r="H2" s="5">
        <v>1</v>
      </c>
    </row>
    <row r="3" spans="1:16">
      <c r="A3">
        <v>1</v>
      </c>
      <c r="C3">
        <v>12</v>
      </c>
      <c r="D3" s="2"/>
      <c r="E3" s="15">
        <f>C3*3/22</f>
        <v>1.6363636363636365</v>
      </c>
      <c r="F3" s="3">
        <f>IF(E3&gt;=2,1,0)</f>
        <v>0</v>
      </c>
      <c r="G3" s="3">
        <f>IF(E3&lt;2,IF(E3&gt;=1,1,0),0)</f>
        <v>1</v>
      </c>
      <c r="H3" s="3">
        <f>IF(E3&lt;1,1,0)</f>
        <v>0</v>
      </c>
    </row>
    <row r="4" spans="1:16">
      <c r="A4">
        <v>2</v>
      </c>
      <c r="C4">
        <v>20</v>
      </c>
      <c r="D4" s="2"/>
      <c r="E4" s="15">
        <f t="shared" ref="E4:E38" si="0">C4*3/22</f>
        <v>2.7272727272727271</v>
      </c>
      <c r="F4" s="3">
        <f>IF(E4&gt;=2,1,0)</f>
        <v>1</v>
      </c>
      <c r="G4" s="3">
        <f>IF(E4&lt;2,IF(E4&gt;=1,1,0),0)</f>
        <v>0</v>
      </c>
      <c r="H4" s="3">
        <f>IF(E4&lt;1,1,0)</f>
        <v>0</v>
      </c>
      <c r="K4" t="s">
        <v>16</v>
      </c>
      <c r="L4">
        <f>COUNT(A3:A44)</f>
        <v>42</v>
      </c>
    </row>
    <row r="5" spans="1:16">
      <c r="A5">
        <v>3</v>
      </c>
      <c r="C5">
        <v>18</v>
      </c>
      <c r="D5" s="2"/>
      <c r="E5" s="15">
        <f t="shared" si="0"/>
        <v>2.4545454545454546</v>
      </c>
      <c r="F5" s="3">
        <f>IF(E5&gt;=2,1,0)</f>
        <v>1</v>
      </c>
      <c r="G5" s="3">
        <f>IF(E5&lt;2,IF(E5&gt;=1,1,0),0)</f>
        <v>0</v>
      </c>
      <c r="H5" s="3">
        <f>IF(E5&lt;1,1,0)</f>
        <v>0</v>
      </c>
    </row>
    <row r="6" spans="1:16">
      <c r="A6">
        <v>4</v>
      </c>
      <c r="C6">
        <v>17</v>
      </c>
      <c r="D6" s="2"/>
      <c r="E6" s="15">
        <f t="shared" si="0"/>
        <v>2.3181818181818183</v>
      </c>
      <c r="F6" s="3">
        <f>IF(E6&gt;=2,1,0)</f>
        <v>1</v>
      </c>
      <c r="G6" s="3">
        <f>IF(E6&lt;2,IF(E6&gt;=1,1,0),0)</f>
        <v>0</v>
      </c>
      <c r="H6" s="3">
        <f>IF(E6&lt;1,1,0)</f>
        <v>0</v>
      </c>
      <c r="K6" s="6" t="s">
        <v>4</v>
      </c>
      <c r="L6" s="7">
        <v>1</v>
      </c>
      <c r="M6" s="7">
        <v>2</v>
      </c>
      <c r="O6" s="12" t="s">
        <v>10</v>
      </c>
      <c r="P6" s="13" t="s">
        <v>11</v>
      </c>
    </row>
    <row r="7" spans="1:16">
      <c r="A7">
        <v>5</v>
      </c>
      <c r="C7">
        <v>18</v>
      </c>
      <c r="D7" s="2"/>
      <c r="E7" s="15">
        <f t="shared" si="0"/>
        <v>2.4545454545454546</v>
      </c>
      <c r="F7" s="3">
        <f>IF(E7&gt;=2,1,0)</f>
        <v>1</v>
      </c>
      <c r="G7" s="3">
        <f>IF(E7&lt;2,IF(E7&gt;=1,1,0),0)</f>
        <v>0</v>
      </c>
      <c r="H7" s="3">
        <f>IF(E7&lt;1,1,0)</f>
        <v>0</v>
      </c>
      <c r="K7" s="6"/>
      <c r="L7" s="8"/>
      <c r="M7" s="9"/>
      <c r="O7" s="12">
        <v>1</v>
      </c>
      <c r="P7" s="14" t="s">
        <v>12</v>
      </c>
    </row>
    <row r="8" spans="1:16">
      <c r="A8">
        <v>6</v>
      </c>
      <c r="C8">
        <v>16</v>
      </c>
      <c r="D8" s="2"/>
      <c r="E8" s="15">
        <f t="shared" si="0"/>
        <v>2.1818181818181817</v>
      </c>
      <c r="F8" s="3">
        <f>IF(E8&gt;=2,1,0)</f>
        <v>1</v>
      </c>
      <c r="G8" s="3">
        <f>IF(E8&lt;2,IF(E8&gt;=1,1,0),0)</f>
        <v>0</v>
      </c>
      <c r="H8" s="3">
        <f>IF(E8&lt;1,1,0)</f>
        <v>0</v>
      </c>
      <c r="K8" s="6" t="s">
        <v>5</v>
      </c>
      <c r="L8" s="8">
        <f>F45/L4</f>
        <v>0.66666666666666663</v>
      </c>
      <c r="M8" s="9">
        <f>L8</f>
        <v>0.66666666666666663</v>
      </c>
      <c r="O8" s="12">
        <v>2</v>
      </c>
      <c r="P8" s="14" t="s">
        <v>13</v>
      </c>
    </row>
    <row r="9" spans="1:16">
      <c r="A9">
        <v>7</v>
      </c>
      <c r="C9">
        <v>12</v>
      </c>
      <c r="D9" s="2"/>
      <c r="E9" s="15">
        <f t="shared" si="0"/>
        <v>1.6363636363636365</v>
      </c>
      <c r="F9" s="3">
        <f>IF(E9&gt;=2,1,0)</f>
        <v>0</v>
      </c>
      <c r="G9" s="3">
        <f>IF(E9&lt;2,IF(E9&gt;=1,1,0),0)</f>
        <v>1</v>
      </c>
      <c r="H9" s="3">
        <f>IF(E9&lt;1,1,0)</f>
        <v>0</v>
      </c>
      <c r="K9" s="6" t="s">
        <v>6</v>
      </c>
      <c r="L9" s="8">
        <f>G45/L4</f>
        <v>0.21428571428571427</v>
      </c>
      <c r="M9" s="9">
        <f>L9</f>
        <v>0.21428571428571427</v>
      </c>
    </row>
    <row r="10" spans="1:16">
      <c r="A10">
        <v>8</v>
      </c>
      <c r="C10">
        <v>22</v>
      </c>
      <c r="D10" s="2"/>
      <c r="E10" s="15">
        <f t="shared" si="0"/>
        <v>3</v>
      </c>
      <c r="F10" s="3">
        <f>IF(E10&gt;=2,1,0)</f>
        <v>1</v>
      </c>
      <c r="G10" s="3">
        <f>IF(E10&lt;2,IF(E10&gt;=1,1,0),0)</f>
        <v>0</v>
      </c>
      <c r="H10" s="3">
        <f>IF(E10&lt;1,1,0)</f>
        <v>0</v>
      </c>
      <c r="K10" s="6" t="s">
        <v>7</v>
      </c>
      <c r="L10" s="8">
        <f>H45/L4</f>
        <v>0.11904761904761904</v>
      </c>
      <c r="M10" s="9">
        <f>L10</f>
        <v>0.11904761904761904</v>
      </c>
    </row>
    <row r="11" spans="1:16">
      <c r="A11">
        <v>9</v>
      </c>
      <c r="C11">
        <v>22</v>
      </c>
      <c r="D11" s="2"/>
      <c r="E11" s="15">
        <f t="shared" si="0"/>
        <v>3</v>
      </c>
      <c r="F11" s="3">
        <f>IF(E11&gt;=2,1,0)</f>
        <v>1</v>
      </c>
      <c r="G11" s="3">
        <f>IF(E11&lt;2,IF(E11&gt;=1,1,0),0)</f>
        <v>0</v>
      </c>
      <c r="H11" s="3">
        <f>IF(E11&lt;1,1,0)</f>
        <v>0</v>
      </c>
      <c r="K11" s="6" t="s">
        <v>8</v>
      </c>
      <c r="L11" s="10">
        <f>AVERAGE(E3:E32)</f>
        <v>2.2999999999999998</v>
      </c>
      <c r="M11" s="10">
        <f>L11</f>
        <v>2.2999999999999998</v>
      </c>
    </row>
    <row r="12" spans="1:16">
      <c r="A12">
        <v>10</v>
      </c>
      <c r="C12">
        <v>19</v>
      </c>
      <c r="D12" s="2"/>
      <c r="E12" s="15">
        <f t="shared" si="0"/>
        <v>2.5909090909090908</v>
      </c>
      <c r="F12" s="3">
        <f>IF(E12&gt;=2,1,0)</f>
        <v>1</v>
      </c>
      <c r="G12" s="3">
        <f>IF(E12&lt;2,IF(E12&gt;=1,1,0),0)</f>
        <v>0</v>
      </c>
      <c r="H12" s="3">
        <f>IF(E12&lt;1,1,0)</f>
        <v>0</v>
      </c>
      <c r="K12" s="6" t="s">
        <v>9</v>
      </c>
      <c r="L12" s="10">
        <f>STDEV(E3:E32)</f>
        <v>0.56136665058269708</v>
      </c>
      <c r="M12" s="11">
        <f>L12</f>
        <v>0.56136665058269708</v>
      </c>
    </row>
    <row r="13" spans="1:16">
      <c r="A13">
        <v>11</v>
      </c>
      <c r="C13">
        <v>21</v>
      </c>
      <c r="D13" s="2"/>
      <c r="E13" s="15">
        <f t="shared" si="0"/>
        <v>2.8636363636363638</v>
      </c>
      <c r="F13" s="3">
        <f>IF(E13&gt;=2,1,0)</f>
        <v>1</v>
      </c>
      <c r="G13" s="3">
        <f>IF(E13&lt;2,IF(E13&gt;=1,1,0),0)</f>
        <v>0</v>
      </c>
      <c r="H13" s="3">
        <f>IF(E13&lt;1,1,0)</f>
        <v>0</v>
      </c>
    </row>
    <row r="14" spans="1:16">
      <c r="A14">
        <v>12</v>
      </c>
      <c r="C14">
        <v>21</v>
      </c>
      <c r="D14" s="2"/>
      <c r="E14" s="15">
        <f t="shared" si="0"/>
        <v>2.8636363636363638</v>
      </c>
      <c r="F14" s="3">
        <f>IF(E14&gt;=2,1,0)</f>
        <v>1</v>
      </c>
      <c r="G14" s="3">
        <f>IF(E14&lt;2,IF(E14&gt;=1,1,0),0)</f>
        <v>0</v>
      </c>
      <c r="H14" s="3">
        <f>IF(E14&lt;1,1,0)</f>
        <v>0</v>
      </c>
    </row>
    <row r="15" spans="1:16">
      <c r="A15">
        <v>13</v>
      </c>
      <c r="C15">
        <v>18</v>
      </c>
      <c r="D15" s="2"/>
      <c r="E15" s="15">
        <f t="shared" si="0"/>
        <v>2.4545454545454546</v>
      </c>
      <c r="F15" s="3">
        <f>IF(E15&gt;=2,1,0)</f>
        <v>1</v>
      </c>
      <c r="G15" s="3">
        <f>IF(E15&lt;2,IF(E15&gt;=1,1,0),0)</f>
        <v>0</v>
      </c>
      <c r="H15" s="3">
        <f>IF(E15&lt;1,1,0)</f>
        <v>0</v>
      </c>
      <c r="K15" s="4"/>
    </row>
    <row r="16" spans="1:16">
      <c r="A16">
        <v>14</v>
      </c>
      <c r="C16">
        <v>7</v>
      </c>
      <c r="D16" s="2"/>
      <c r="E16" s="16">
        <f t="shared" si="0"/>
        <v>0.95454545454545459</v>
      </c>
      <c r="F16" s="3">
        <f>IF(E16&gt;=2,1,0)</f>
        <v>0</v>
      </c>
      <c r="G16" s="3">
        <f>IF(E16&lt;2,IF(E16&gt;=1,1,0),0)</f>
        <v>0</v>
      </c>
      <c r="H16" s="3">
        <f>IF(E16&lt;1,1,0)</f>
        <v>1</v>
      </c>
    </row>
    <row r="17" spans="1:8">
      <c r="A17">
        <v>15</v>
      </c>
      <c r="C17">
        <v>19</v>
      </c>
      <c r="D17" s="2"/>
      <c r="E17" s="15">
        <f t="shared" si="0"/>
        <v>2.5909090909090908</v>
      </c>
      <c r="F17" s="3">
        <f>IF(E17&gt;=2,1,0)</f>
        <v>1</v>
      </c>
      <c r="G17" s="3">
        <f>IF(E17&lt;2,IF(E17&gt;=1,1,0),0)</f>
        <v>0</v>
      </c>
      <c r="H17" s="3">
        <f>IF(E17&lt;1,1,0)</f>
        <v>0</v>
      </c>
    </row>
    <row r="18" spans="1:8">
      <c r="A18">
        <v>16</v>
      </c>
      <c r="C18">
        <v>19</v>
      </c>
      <c r="D18" s="2"/>
      <c r="E18" s="15">
        <f t="shared" si="0"/>
        <v>2.5909090909090908</v>
      </c>
      <c r="F18" s="3">
        <f>IF(E18&gt;=2,1,0)</f>
        <v>1</v>
      </c>
      <c r="G18" s="3">
        <f>IF(E18&lt;2,IF(E18&gt;=1,1,0),0)</f>
        <v>0</v>
      </c>
      <c r="H18" s="3">
        <f>IF(E18&lt;1,1,0)</f>
        <v>0</v>
      </c>
    </row>
    <row r="19" spans="1:8">
      <c r="A19">
        <v>17</v>
      </c>
      <c r="C19">
        <v>20</v>
      </c>
      <c r="D19" s="2"/>
      <c r="E19" s="15">
        <f t="shared" si="0"/>
        <v>2.7272727272727271</v>
      </c>
      <c r="F19" s="3">
        <f>IF(E19&gt;=2,1,0)</f>
        <v>1</v>
      </c>
      <c r="G19" s="3">
        <f>IF(E19&lt;2,IF(E19&gt;=1,1,0),0)</f>
        <v>0</v>
      </c>
      <c r="H19" s="3">
        <f>IF(E19&lt;1,1,0)</f>
        <v>0</v>
      </c>
    </row>
    <row r="20" spans="1:8">
      <c r="A20">
        <v>18</v>
      </c>
      <c r="C20">
        <v>19</v>
      </c>
      <c r="D20" s="2"/>
      <c r="E20" s="15">
        <f t="shared" si="0"/>
        <v>2.5909090909090908</v>
      </c>
      <c r="F20" s="3">
        <f>IF(E20&gt;=2,1,0)</f>
        <v>1</v>
      </c>
      <c r="G20" s="3">
        <f>IF(E20&lt;2,IF(E20&gt;=1,1,0),0)</f>
        <v>0</v>
      </c>
      <c r="H20" s="3">
        <f>IF(E20&lt;1,1,0)</f>
        <v>0</v>
      </c>
    </row>
    <row r="21" spans="1:8">
      <c r="A21">
        <v>19</v>
      </c>
      <c r="C21">
        <v>19</v>
      </c>
      <c r="D21" s="2"/>
      <c r="E21" s="15">
        <f t="shared" si="0"/>
        <v>2.5909090909090908</v>
      </c>
      <c r="F21" s="3">
        <f>IF(E21&gt;=2,1,0)</f>
        <v>1</v>
      </c>
      <c r="G21" s="3">
        <f>IF(E21&lt;2,IF(E21&gt;=1,1,0),0)</f>
        <v>0</v>
      </c>
      <c r="H21" s="3">
        <f>IF(E21&lt;1,1,0)</f>
        <v>0</v>
      </c>
    </row>
    <row r="22" spans="1:8">
      <c r="A22">
        <v>20</v>
      </c>
      <c r="C22">
        <v>11</v>
      </c>
      <c r="D22" s="2"/>
      <c r="E22" s="15">
        <f t="shared" si="0"/>
        <v>1.5</v>
      </c>
      <c r="F22" s="3">
        <f>IF(E22&gt;=2,1,0)</f>
        <v>0</v>
      </c>
      <c r="G22" s="3">
        <f>IF(E22&lt;2,IF(E22&gt;=1,1,0),0)</f>
        <v>1</v>
      </c>
      <c r="H22" s="3">
        <f>IF(E22&lt;1,1,0)</f>
        <v>0</v>
      </c>
    </row>
    <row r="23" spans="1:8">
      <c r="A23">
        <v>21</v>
      </c>
      <c r="C23">
        <v>19</v>
      </c>
      <c r="D23" s="2"/>
      <c r="E23" s="15">
        <f t="shared" si="0"/>
        <v>2.5909090909090908</v>
      </c>
      <c r="F23" s="3">
        <f>IF(E23&gt;=2,1,0)</f>
        <v>1</v>
      </c>
      <c r="G23" s="3">
        <f>IF(E23&lt;2,IF(E23&gt;=1,1,0),0)</f>
        <v>0</v>
      </c>
      <c r="H23" s="3">
        <f>IF(E23&lt;1,1,0)</f>
        <v>0</v>
      </c>
    </row>
    <row r="24" spans="1:8">
      <c r="A24">
        <v>22</v>
      </c>
      <c r="C24">
        <v>8</v>
      </c>
      <c r="D24" s="2"/>
      <c r="E24" s="15">
        <f t="shared" si="0"/>
        <v>1.0909090909090908</v>
      </c>
      <c r="F24" s="3">
        <f>IF(E24&gt;=2,1,0)</f>
        <v>0</v>
      </c>
      <c r="G24" s="3">
        <f>IF(E24&lt;2,IF(E24&gt;=1,1,0),0)</f>
        <v>1</v>
      </c>
      <c r="H24" s="3">
        <f>IF(E24&lt;1,1,0)</f>
        <v>0</v>
      </c>
    </row>
    <row r="25" spans="1:8">
      <c r="A25">
        <v>23</v>
      </c>
      <c r="C25">
        <v>16</v>
      </c>
      <c r="D25" s="2"/>
      <c r="E25" s="15">
        <f t="shared" si="0"/>
        <v>2.1818181818181817</v>
      </c>
      <c r="F25" s="3">
        <f>IF(E25&gt;=2,1,0)</f>
        <v>1</v>
      </c>
      <c r="G25" s="3">
        <f>IF(E25&lt;2,IF(E25&gt;=1,1,0),0)</f>
        <v>0</v>
      </c>
      <c r="H25" s="3">
        <f>IF(E25&lt;1,1,0)</f>
        <v>0</v>
      </c>
    </row>
    <row r="26" spans="1:8">
      <c r="A26">
        <v>24</v>
      </c>
      <c r="C26">
        <v>16</v>
      </c>
      <c r="D26" s="2"/>
      <c r="E26" s="15">
        <f t="shared" si="0"/>
        <v>2.1818181818181817</v>
      </c>
      <c r="F26" s="3">
        <f>IF(E26&gt;=2,1,0)</f>
        <v>1</v>
      </c>
      <c r="G26" s="3">
        <f>IF(E26&lt;2,IF(E26&gt;=1,1,0),0)</f>
        <v>0</v>
      </c>
      <c r="H26" s="3">
        <f>IF(E26&lt;1,1,0)</f>
        <v>0</v>
      </c>
    </row>
    <row r="27" spans="1:8">
      <c r="A27">
        <v>25</v>
      </c>
      <c r="C27">
        <v>11</v>
      </c>
      <c r="D27" s="2"/>
      <c r="E27" s="15">
        <f t="shared" si="0"/>
        <v>1.5</v>
      </c>
      <c r="F27" s="3">
        <f>IF(E27&gt;=2,1,0)</f>
        <v>0</v>
      </c>
      <c r="G27" s="3">
        <f>IF(E27&lt;2,IF(E27&gt;=1,1,0),0)</f>
        <v>1</v>
      </c>
      <c r="H27" s="3">
        <f>IF(E27&lt;1,1,0)</f>
        <v>0</v>
      </c>
    </row>
    <row r="28" spans="1:8">
      <c r="A28">
        <v>26</v>
      </c>
      <c r="C28">
        <v>20</v>
      </c>
      <c r="D28" s="2"/>
      <c r="E28" s="15">
        <f t="shared" si="0"/>
        <v>2.7272727272727271</v>
      </c>
      <c r="F28" s="3">
        <f>IF(E28&gt;=2,1,0)</f>
        <v>1</v>
      </c>
      <c r="G28" s="3">
        <f>IF(E28&lt;2,IF(E28&gt;=1,1,0),0)</f>
        <v>0</v>
      </c>
      <c r="H28" s="3">
        <f>IF(E28&lt;1,1,0)</f>
        <v>0</v>
      </c>
    </row>
    <row r="29" spans="1:8">
      <c r="A29">
        <v>27</v>
      </c>
      <c r="C29">
        <v>20</v>
      </c>
      <c r="D29" s="2"/>
      <c r="E29" s="15">
        <f t="shared" si="0"/>
        <v>2.7272727272727271</v>
      </c>
      <c r="F29" s="3">
        <f>IF(E29&gt;=2,1,0)</f>
        <v>1</v>
      </c>
      <c r="G29" s="3">
        <f>IF(E29&lt;2,IF(E29&gt;=1,1,0),0)</f>
        <v>0</v>
      </c>
      <c r="H29" s="3">
        <f>IF(E29&lt;1,1,0)</f>
        <v>0</v>
      </c>
    </row>
    <row r="30" spans="1:8">
      <c r="A30">
        <v>28</v>
      </c>
      <c r="C30">
        <v>13</v>
      </c>
      <c r="D30" s="2"/>
      <c r="E30" s="15">
        <f t="shared" si="0"/>
        <v>1.7727272727272727</v>
      </c>
      <c r="F30" s="3">
        <f>IF(E30&gt;=2,1,0)</f>
        <v>0</v>
      </c>
      <c r="G30" s="3">
        <f>IF(E30&lt;2,IF(E30&gt;=1,1,0),0)</f>
        <v>1</v>
      </c>
      <c r="H30" s="3">
        <f>IF(E30&lt;1,1,0)</f>
        <v>0</v>
      </c>
    </row>
    <row r="31" spans="1:8">
      <c r="A31">
        <v>29</v>
      </c>
      <c r="C31">
        <v>13</v>
      </c>
      <c r="D31" s="2"/>
      <c r="E31" s="15">
        <f t="shared" si="0"/>
        <v>1.7727272727272727</v>
      </c>
      <c r="F31" s="3">
        <f>IF(E31&gt;=2,1,0)</f>
        <v>0</v>
      </c>
      <c r="G31" s="3">
        <f>IF(E31&lt;2,IF(E31&gt;=1,1,0),0)</f>
        <v>1</v>
      </c>
      <c r="H31" s="3">
        <f>IF(E31&lt;1,1,0)</f>
        <v>0</v>
      </c>
    </row>
    <row r="32" spans="1:8">
      <c r="A32">
        <v>30</v>
      </c>
      <c r="C32">
        <v>20</v>
      </c>
      <c r="D32" s="2"/>
      <c r="E32" s="15">
        <f t="shared" si="0"/>
        <v>2.7272727272727271</v>
      </c>
      <c r="F32" s="3">
        <f>IF(E32&gt;=2,1,0)</f>
        <v>1</v>
      </c>
      <c r="G32" s="3">
        <f>IF(E32&lt;2,IF(E32&gt;=1,1,0),0)</f>
        <v>0</v>
      </c>
      <c r="H32" s="3">
        <f>IF(E32&lt;1,1,0)</f>
        <v>0</v>
      </c>
    </row>
    <row r="33" spans="1:9">
      <c r="A33">
        <v>31</v>
      </c>
      <c r="C33">
        <v>20</v>
      </c>
      <c r="E33" s="15">
        <f t="shared" si="0"/>
        <v>2.7272727272727271</v>
      </c>
      <c r="F33" s="3">
        <f>IF(E33&gt;=2,1,0)</f>
        <v>1</v>
      </c>
      <c r="G33" s="3">
        <f>IF(E33&lt;2,IF(E33&gt;=1,1,0),0)</f>
        <v>0</v>
      </c>
      <c r="H33" s="3">
        <f>IF(E33&lt;1,1,0)</f>
        <v>0</v>
      </c>
    </row>
    <row r="34" spans="1:9">
      <c r="A34">
        <v>32</v>
      </c>
      <c r="C34">
        <v>6</v>
      </c>
      <c r="E34" s="15">
        <f t="shared" si="0"/>
        <v>0.81818181818181823</v>
      </c>
      <c r="F34" s="3">
        <f>IF(E34&gt;=2,1,0)</f>
        <v>0</v>
      </c>
      <c r="G34" s="3">
        <f>IF(E34&lt;2,IF(E34&gt;=1,1,0),0)</f>
        <v>0</v>
      </c>
      <c r="H34" s="3">
        <f>IF(E34&lt;1,1,0)</f>
        <v>1</v>
      </c>
    </row>
    <row r="35" spans="1:9">
      <c r="A35">
        <v>33</v>
      </c>
      <c r="C35">
        <v>7</v>
      </c>
      <c r="E35" s="15">
        <f t="shared" si="0"/>
        <v>0.95454545454545459</v>
      </c>
      <c r="F35" s="3">
        <f>IF(E35&gt;=2,1,0)</f>
        <v>0</v>
      </c>
      <c r="G35" s="3">
        <f>IF(E35&lt;2,IF(E35&gt;=1,1,0),0)</f>
        <v>0</v>
      </c>
      <c r="H35" s="3">
        <f>IF(E35&lt;1,1,0)</f>
        <v>1</v>
      </c>
    </row>
    <row r="36" spans="1:9">
      <c r="A36">
        <v>34</v>
      </c>
      <c r="C36">
        <v>21</v>
      </c>
      <c r="E36" s="15">
        <f t="shared" si="0"/>
        <v>2.8636363636363638</v>
      </c>
      <c r="F36" s="3">
        <f>IF(E36&gt;=2,1,0)</f>
        <v>1</v>
      </c>
      <c r="G36" s="3">
        <f>IF(E36&lt;2,IF(E36&gt;=1,1,0),0)</f>
        <v>0</v>
      </c>
      <c r="H36" s="3">
        <f>IF(E36&lt;1,1,0)</f>
        <v>0</v>
      </c>
    </row>
    <row r="37" spans="1:9">
      <c r="A37">
        <v>35</v>
      </c>
      <c r="C37">
        <v>7</v>
      </c>
      <c r="E37" s="15">
        <f t="shared" si="0"/>
        <v>0.95454545454545459</v>
      </c>
      <c r="F37" s="3">
        <f>IF(E37&gt;=2,1,0)</f>
        <v>0</v>
      </c>
      <c r="G37" s="3">
        <f>IF(E37&lt;2,IF(E37&gt;=1,1,0),0)</f>
        <v>0</v>
      </c>
      <c r="H37" s="3">
        <f>IF(E37&lt;1,1,0)</f>
        <v>1</v>
      </c>
    </row>
    <row r="38" spans="1:9">
      <c r="A38">
        <v>36</v>
      </c>
      <c r="C38">
        <v>20</v>
      </c>
      <c r="E38" s="15">
        <f t="shared" si="0"/>
        <v>2.7272727272727271</v>
      </c>
      <c r="F38" s="3">
        <f>IF(E38&gt;=2,1,0)</f>
        <v>1</v>
      </c>
      <c r="G38" s="3">
        <f>IF(E38&lt;2,IF(E38&gt;=1,1,0),0)</f>
        <v>0</v>
      </c>
      <c r="H38" s="3">
        <f>IF(E38&lt;1,1,0)</f>
        <v>0</v>
      </c>
    </row>
    <row r="39" spans="1:9">
      <c r="A39">
        <v>37</v>
      </c>
      <c r="C39">
        <v>14</v>
      </c>
      <c r="E39" s="15">
        <f t="shared" ref="E39:E44" si="1">C39*3/22</f>
        <v>1.9090909090909092</v>
      </c>
      <c r="F39" s="3">
        <f>IF(E39&gt;=2,1,0)</f>
        <v>0</v>
      </c>
      <c r="G39" s="3">
        <f>IF(E39&lt;2,IF(E39&gt;=1,1,0),0)</f>
        <v>1</v>
      </c>
      <c r="H39" s="3">
        <f>IF(E39&lt;1,1,0)</f>
        <v>0</v>
      </c>
    </row>
    <row r="40" spans="1:9">
      <c r="A40">
        <v>38</v>
      </c>
      <c r="C40">
        <v>7</v>
      </c>
      <c r="E40" s="15">
        <f t="shared" si="1"/>
        <v>0.95454545454545459</v>
      </c>
      <c r="F40" s="3">
        <f>IF(E40&gt;=2,1,0)</f>
        <v>0</v>
      </c>
      <c r="G40" s="3">
        <f>IF(E40&lt;2,IF(E40&gt;=1,1,0),0)</f>
        <v>0</v>
      </c>
      <c r="H40" s="3">
        <f>IF(E40&lt;1,1,0)</f>
        <v>1</v>
      </c>
    </row>
    <row r="41" spans="1:9">
      <c r="A41">
        <v>39</v>
      </c>
      <c r="C41">
        <v>15</v>
      </c>
      <c r="E41" s="15">
        <f t="shared" si="1"/>
        <v>2.0454545454545454</v>
      </c>
      <c r="F41" s="3">
        <f>IF(E41&gt;=2,1,0)</f>
        <v>1</v>
      </c>
      <c r="G41" s="3">
        <f>IF(E41&lt;2,IF(E41&gt;=1,1,0),0)</f>
        <v>0</v>
      </c>
      <c r="H41" s="3">
        <f>IF(E41&lt;1,1,0)</f>
        <v>0</v>
      </c>
    </row>
    <row r="42" spans="1:9">
      <c r="A42">
        <v>40</v>
      </c>
      <c r="C42">
        <v>9</v>
      </c>
      <c r="E42" s="15">
        <f t="shared" si="1"/>
        <v>1.2272727272727273</v>
      </c>
      <c r="F42" s="3">
        <f>IF(E42&gt;=2,1,0)</f>
        <v>0</v>
      </c>
      <c r="G42" s="3">
        <f>IF(E42&lt;2,IF(E42&gt;=1,1,0),0)</f>
        <v>1</v>
      </c>
      <c r="H42" s="3">
        <f>IF(E42&lt;1,1,0)</f>
        <v>0</v>
      </c>
    </row>
    <row r="43" spans="1:9">
      <c r="A43">
        <v>41</v>
      </c>
      <c r="C43">
        <v>22</v>
      </c>
      <c r="E43" s="15">
        <f t="shared" si="1"/>
        <v>3</v>
      </c>
      <c r="F43" s="3">
        <f>IF(E43&gt;=2,1,0)</f>
        <v>1</v>
      </c>
      <c r="G43" s="3">
        <f>IF(E43&lt;2,IF(E43&gt;=1,1,0),0)</f>
        <v>0</v>
      </c>
      <c r="H43" s="3">
        <f>IF(E43&lt;1,1,0)</f>
        <v>0</v>
      </c>
    </row>
    <row r="44" spans="1:9">
      <c r="A44">
        <v>42</v>
      </c>
      <c r="C44">
        <v>16</v>
      </c>
      <c r="E44" s="15">
        <f t="shared" si="1"/>
        <v>2.1818181818181817</v>
      </c>
      <c r="F44" s="3">
        <f>IF(E44&gt;=2,1,0)</f>
        <v>1</v>
      </c>
      <c r="G44" s="3">
        <f>IF(E44&lt;2,IF(E44&gt;=1,1,0),0)</f>
        <v>0</v>
      </c>
      <c r="H44" s="3">
        <f>IF(E44&lt;1,1,0)</f>
        <v>0</v>
      </c>
    </row>
    <row r="45" spans="1:9">
      <c r="E45" t="s">
        <v>3</v>
      </c>
      <c r="F45" s="3">
        <f>SUM(F3:F44)</f>
        <v>28</v>
      </c>
      <c r="G45" s="3">
        <f>SUM(G3:G44)</f>
        <v>9</v>
      </c>
      <c r="H45" s="3">
        <f>SUM(H3:H44)</f>
        <v>5</v>
      </c>
      <c r="I45" s="3">
        <f>SUM(F45:H45)</f>
        <v>42</v>
      </c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D4B4-49D7-5E47-BD1B-5A1666647F7D}">
  <dimension ref="A1:P41"/>
  <sheetViews>
    <sheetView tabSelected="1" workbookViewId="0">
      <selection activeCell="K4" sqref="K4:M12"/>
    </sheetView>
  </sheetViews>
  <sheetFormatPr baseColWidth="10" defaultRowHeight="21"/>
  <cols>
    <col min="11" max="11" width="21.75" customWidth="1"/>
    <col min="16" max="16" width="38" customWidth="1"/>
  </cols>
  <sheetData>
    <row r="1" spans="1:16" ht="22" thickBot="1">
      <c r="A1" t="s">
        <v>1</v>
      </c>
      <c r="C1">
        <v>22</v>
      </c>
      <c r="E1" t="s">
        <v>15</v>
      </c>
      <c r="F1" s="3" t="s">
        <v>0</v>
      </c>
      <c r="G1" s="3"/>
      <c r="H1" s="3"/>
    </row>
    <row r="2" spans="1:16" ht="22" thickBot="1">
      <c r="A2" t="s">
        <v>14</v>
      </c>
      <c r="C2" t="s">
        <v>0</v>
      </c>
      <c r="E2" t="s">
        <v>2</v>
      </c>
      <c r="F2" s="5">
        <v>3</v>
      </c>
      <c r="G2" s="5">
        <v>2</v>
      </c>
      <c r="H2" s="5">
        <v>1</v>
      </c>
    </row>
    <row r="3" spans="1:16">
      <c r="A3">
        <v>1</v>
      </c>
      <c r="C3">
        <v>4</v>
      </c>
      <c r="D3" s="2"/>
      <c r="E3" s="15">
        <f>C3*3/22</f>
        <v>0.54545454545454541</v>
      </c>
      <c r="F3" s="3">
        <f>IF(E3&gt;=2,1,0)</f>
        <v>0</v>
      </c>
      <c r="G3" s="3">
        <f>IF(E3&lt;2,IF(E3&gt;=1,1,0),0)</f>
        <v>0</v>
      </c>
      <c r="H3" s="3">
        <f>IF(E3&lt;1,1,0)</f>
        <v>1</v>
      </c>
    </row>
    <row r="4" spans="1:16">
      <c r="A4">
        <v>2</v>
      </c>
      <c r="C4">
        <v>22</v>
      </c>
      <c r="D4" s="2"/>
      <c r="E4" s="15">
        <f t="shared" ref="E4:E33" si="0">C4*3/22</f>
        <v>3</v>
      </c>
      <c r="F4" s="3">
        <f>IF(E4&gt;=2,1,0)</f>
        <v>1</v>
      </c>
      <c r="G4" s="3">
        <f>IF(E4&lt;2,IF(E4&gt;=1,1,0),0)</f>
        <v>0</v>
      </c>
      <c r="H4" s="3">
        <f>IF(E4&lt;1,1,0)</f>
        <v>0</v>
      </c>
      <c r="K4" t="s">
        <v>16</v>
      </c>
      <c r="L4">
        <f>COUNT(A3:A38)</f>
        <v>36</v>
      </c>
    </row>
    <row r="5" spans="1:16">
      <c r="A5">
        <v>3</v>
      </c>
      <c r="C5">
        <v>21</v>
      </c>
      <c r="D5" s="2"/>
      <c r="E5" s="15">
        <f t="shared" si="0"/>
        <v>2.8636363636363638</v>
      </c>
      <c r="F5" s="3">
        <f>IF(E5&gt;=2,1,0)</f>
        <v>1</v>
      </c>
      <c r="G5" s="3">
        <f>IF(E5&lt;2,IF(E5&gt;=1,1,0),0)</f>
        <v>0</v>
      </c>
      <c r="H5" s="3">
        <f>IF(E5&lt;1,1,0)</f>
        <v>0</v>
      </c>
    </row>
    <row r="6" spans="1:16">
      <c r="A6">
        <v>4</v>
      </c>
      <c r="C6">
        <v>2</v>
      </c>
      <c r="D6" s="2"/>
      <c r="E6" s="15">
        <f t="shared" si="0"/>
        <v>0.27272727272727271</v>
      </c>
      <c r="F6" s="3">
        <f>IF(E6&gt;=2,1,0)</f>
        <v>0</v>
      </c>
      <c r="G6" s="3">
        <f>IF(E6&lt;2,IF(E6&gt;=1,1,0),0)</f>
        <v>0</v>
      </c>
      <c r="H6" s="3">
        <f>IF(E6&lt;1,1,0)</f>
        <v>1</v>
      </c>
      <c r="K6" s="6" t="s">
        <v>4</v>
      </c>
      <c r="L6" s="7">
        <v>1</v>
      </c>
      <c r="M6" s="7">
        <v>2</v>
      </c>
      <c r="O6" s="12" t="s">
        <v>10</v>
      </c>
      <c r="P6" s="13" t="s">
        <v>11</v>
      </c>
    </row>
    <row r="7" spans="1:16">
      <c r="A7">
        <v>5</v>
      </c>
      <c r="C7">
        <v>15</v>
      </c>
      <c r="D7" s="2"/>
      <c r="E7" s="15">
        <f t="shared" si="0"/>
        <v>2.0454545454545454</v>
      </c>
      <c r="F7" s="3">
        <f>IF(E7&gt;=2,1,0)</f>
        <v>1</v>
      </c>
      <c r="G7" s="3">
        <f>IF(E7&lt;2,IF(E7&gt;=1,1,0),0)</f>
        <v>0</v>
      </c>
      <c r="H7" s="3">
        <f>IF(E7&lt;1,1,0)</f>
        <v>0</v>
      </c>
      <c r="K7" s="6"/>
      <c r="L7" s="8"/>
      <c r="M7" s="9"/>
      <c r="O7" s="12">
        <v>1</v>
      </c>
      <c r="P7" s="14" t="s">
        <v>12</v>
      </c>
    </row>
    <row r="8" spans="1:16">
      <c r="A8">
        <v>6</v>
      </c>
      <c r="C8">
        <v>20</v>
      </c>
      <c r="D8" s="2"/>
      <c r="E8" s="15">
        <f t="shared" si="0"/>
        <v>2.7272727272727271</v>
      </c>
      <c r="F8" s="3">
        <f>IF(E8&gt;=2,1,0)</f>
        <v>1</v>
      </c>
      <c r="G8" s="3">
        <f>IF(E8&lt;2,IF(E8&gt;=1,1,0),0)</f>
        <v>0</v>
      </c>
      <c r="H8" s="3">
        <f>IF(E8&lt;1,1,0)</f>
        <v>0</v>
      </c>
      <c r="K8" s="6" t="s">
        <v>5</v>
      </c>
      <c r="L8" s="8">
        <f>F39/L4</f>
        <v>0.55555555555555558</v>
      </c>
      <c r="M8" s="9">
        <f>L8</f>
        <v>0.55555555555555558</v>
      </c>
      <c r="O8" s="12">
        <v>2</v>
      </c>
      <c r="P8" s="14" t="s">
        <v>13</v>
      </c>
    </row>
    <row r="9" spans="1:16">
      <c r="A9">
        <v>7</v>
      </c>
      <c r="C9">
        <v>22</v>
      </c>
      <c r="D9" s="2"/>
      <c r="E9" s="15">
        <f t="shared" si="0"/>
        <v>3</v>
      </c>
      <c r="F9" s="3">
        <f>IF(E9&gt;=2,1,0)</f>
        <v>1</v>
      </c>
      <c r="G9" s="3">
        <f>IF(E9&lt;2,IF(E9&gt;=1,1,0),0)</f>
        <v>0</v>
      </c>
      <c r="H9" s="3">
        <f>IF(E9&lt;1,1,0)</f>
        <v>0</v>
      </c>
      <c r="K9" s="6" t="s">
        <v>6</v>
      </c>
      <c r="L9" s="8">
        <f>G39/L4</f>
        <v>0.19444444444444445</v>
      </c>
      <c r="M9" s="9">
        <f>L9</f>
        <v>0.19444444444444445</v>
      </c>
    </row>
    <row r="10" spans="1:16">
      <c r="A10">
        <v>8</v>
      </c>
      <c r="C10">
        <v>22</v>
      </c>
      <c r="D10" s="2"/>
      <c r="E10" s="15">
        <f t="shared" si="0"/>
        <v>3</v>
      </c>
      <c r="F10" s="3">
        <f>IF(E10&gt;=2,1,0)</f>
        <v>1</v>
      </c>
      <c r="G10" s="3">
        <f>IF(E10&lt;2,IF(E10&gt;=1,1,0),0)</f>
        <v>0</v>
      </c>
      <c r="H10" s="3">
        <f>IF(E10&lt;1,1,0)</f>
        <v>0</v>
      </c>
      <c r="K10" s="6" t="s">
        <v>7</v>
      </c>
      <c r="L10" s="8">
        <f>H39/L4</f>
        <v>0.25</v>
      </c>
      <c r="M10" s="9">
        <f>L10</f>
        <v>0.25</v>
      </c>
    </row>
    <row r="11" spans="1:16">
      <c r="A11">
        <v>9</v>
      </c>
      <c r="C11">
        <v>21</v>
      </c>
      <c r="D11" s="2"/>
      <c r="E11" s="15">
        <f t="shared" si="0"/>
        <v>2.8636363636363638</v>
      </c>
      <c r="F11" s="3">
        <f>IF(E11&gt;=2,1,0)</f>
        <v>1</v>
      </c>
      <c r="G11" s="3">
        <f>IF(E11&lt;2,IF(E11&gt;=1,1,0),0)</f>
        <v>0</v>
      </c>
      <c r="H11" s="3">
        <f>IF(E11&lt;1,1,0)</f>
        <v>0</v>
      </c>
      <c r="K11" s="6" t="s">
        <v>8</v>
      </c>
      <c r="L11" s="10">
        <f>AVERAGE(E3:E32)</f>
        <v>1.7454545454545458</v>
      </c>
      <c r="M11" s="10">
        <f>L11</f>
        <v>1.7454545454545458</v>
      </c>
    </row>
    <row r="12" spans="1:16">
      <c r="A12">
        <v>10</v>
      </c>
      <c r="C12">
        <v>22</v>
      </c>
      <c r="D12" s="2"/>
      <c r="E12" s="15">
        <f t="shared" si="0"/>
        <v>3</v>
      </c>
      <c r="F12" s="3">
        <f>IF(E12&gt;=2,1,0)</f>
        <v>1</v>
      </c>
      <c r="G12" s="3">
        <f>IF(E12&lt;2,IF(E12&gt;=1,1,0),0)</f>
        <v>0</v>
      </c>
      <c r="H12" s="3">
        <f>IF(E12&lt;1,1,0)</f>
        <v>0</v>
      </c>
      <c r="K12" s="6" t="s">
        <v>9</v>
      </c>
      <c r="L12" s="10">
        <f>STDEV(E3:E32)</f>
        <v>1.1178491744683199</v>
      </c>
      <c r="M12" s="11">
        <f>L12</f>
        <v>1.1178491744683199</v>
      </c>
    </row>
    <row r="13" spans="1:16">
      <c r="A13">
        <v>11</v>
      </c>
      <c r="C13">
        <v>20</v>
      </c>
      <c r="D13" s="2"/>
      <c r="E13" s="15">
        <f t="shared" si="0"/>
        <v>2.7272727272727271</v>
      </c>
      <c r="F13" s="3">
        <f>IF(E13&gt;=2,1,0)</f>
        <v>1</v>
      </c>
      <c r="G13" s="3">
        <f>IF(E13&lt;2,IF(E13&gt;=1,1,0),0)</f>
        <v>0</v>
      </c>
      <c r="H13" s="3">
        <f>IF(E13&lt;1,1,0)</f>
        <v>0</v>
      </c>
    </row>
    <row r="14" spans="1:16">
      <c r="A14">
        <v>12</v>
      </c>
      <c r="C14">
        <v>20</v>
      </c>
      <c r="D14" s="2"/>
      <c r="E14" s="15">
        <f t="shared" si="0"/>
        <v>2.7272727272727271</v>
      </c>
      <c r="F14" s="3">
        <f>IF(E14&gt;=2,1,0)</f>
        <v>1</v>
      </c>
      <c r="G14" s="3">
        <f>IF(E14&lt;2,IF(E14&gt;=1,1,0),0)</f>
        <v>0</v>
      </c>
      <c r="H14" s="3">
        <f>IF(E14&lt;1,1,0)</f>
        <v>0</v>
      </c>
    </row>
    <row r="15" spans="1:16">
      <c r="A15">
        <v>13</v>
      </c>
      <c r="C15">
        <v>11</v>
      </c>
      <c r="D15" s="2"/>
      <c r="E15" s="15">
        <f t="shared" si="0"/>
        <v>1.5</v>
      </c>
      <c r="F15" s="3">
        <f>IF(E15&gt;=2,1,0)</f>
        <v>0</v>
      </c>
      <c r="G15" s="3">
        <f>IF(E15&lt;2,IF(E15&gt;=1,1,0),0)</f>
        <v>1</v>
      </c>
      <c r="H15" s="3">
        <f>IF(E15&lt;1,1,0)</f>
        <v>0</v>
      </c>
      <c r="K15" s="4"/>
    </row>
    <row r="16" spans="1:16">
      <c r="A16">
        <v>14</v>
      </c>
      <c r="C16">
        <v>21</v>
      </c>
      <c r="D16" s="2"/>
      <c r="E16" s="16">
        <f t="shared" si="0"/>
        <v>2.8636363636363638</v>
      </c>
      <c r="F16" s="3">
        <f>IF(E16&gt;=2,1,0)</f>
        <v>1</v>
      </c>
      <c r="G16" s="3">
        <f>IF(E16&lt;2,IF(E16&gt;=1,1,0),0)</f>
        <v>0</v>
      </c>
      <c r="H16" s="3">
        <f>IF(E16&lt;1,1,0)</f>
        <v>0</v>
      </c>
    </row>
    <row r="17" spans="1:8">
      <c r="A17">
        <v>15</v>
      </c>
      <c r="C17">
        <v>0</v>
      </c>
      <c r="D17" s="2"/>
      <c r="E17" s="15">
        <f t="shared" si="0"/>
        <v>0</v>
      </c>
      <c r="F17" s="3">
        <f>IF(E17&gt;=2,1,0)</f>
        <v>0</v>
      </c>
      <c r="G17" s="3">
        <f>IF(E17&lt;2,IF(E17&gt;=1,1,0),0)</f>
        <v>0</v>
      </c>
      <c r="H17" s="3">
        <f>IF(E17&lt;1,1,0)</f>
        <v>1</v>
      </c>
    </row>
    <row r="18" spans="1:8">
      <c r="A18">
        <v>16</v>
      </c>
      <c r="C18">
        <v>0</v>
      </c>
      <c r="D18" s="2"/>
      <c r="E18" s="15">
        <f t="shared" si="0"/>
        <v>0</v>
      </c>
      <c r="F18" s="3">
        <f>IF(E18&gt;=2,1,0)</f>
        <v>0</v>
      </c>
      <c r="G18" s="3">
        <f>IF(E18&lt;2,IF(E18&gt;=1,1,0),0)</f>
        <v>0</v>
      </c>
      <c r="H18" s="3">
        <f>IF(E18&lt;1,1,0)</f>
        <v>1</v>
      </c>
    </row>
    <row r="19" spans="1:8">
      <c r="A19">
        <v>17</v>
      </c>
      <c r="C19">
        <v>0</v>
      </c>
      <c r="D19" s="2"/>
      <c r="E19" s="15">
        <f t="shared" si="0"/>
        <v>0</v>
      </c>
      <c r="F19" s="3">
        <f>IF(E19&gt;=2,1,0)</f>
        <v>0</v>
      </c>
      <c r="G19" s="3">
        <f>IF(E19&lt;2,IF(E19&gt;=1,1,0),0)</f>
        <v>0</v>
      </c>
      <c r="H19" s="3">
        <f>IF(E19&lt;1,1,0)</f>
        <v>1</v>
      </c>
    </row>
    <row r="20" spans="1:8">
      <c r="A20">
        <v>18</v>
      </c>
      <c r="C20">
        <v>9</v>
      </c>
      <c r="D20" s="2"/>
      <c r="E20" s="15">
        <f t="shared" si="0"/>
        <v>1.2272727272727273</v>
      </c>
      <c r="F20" s="3">
        <f>IF(E20&gt;=2,1,0)</f>
        <v>0</v>
      </c>
      <c r="G20" s="3">
        <f>IF(E20&lt;2,IF(E20&gt;=1,1,0),0)</f>
        <v>1</v>
      </c>
      <c r="H20" s="3">
        <f>IF(E20&lt;1,1,0)</f>
        <v>0</v>
      </c>
    </row>
    <row r="21" spans="1:8">
      <c r="A21">
        <v>19</v>
      </c>
      <c r="C21">
        <v>8</v>
      </c>
      <c r="D21" s="2"/>
      <c r="E21" s="15">
        <f t="shared" si="0"/>
        <v>1.0909090909090908</v>
      </c>
      <c r="F21" s="3">
        <f>IF(E21&gt;=2,1,0)</f>
        <v>0</v>
      </c>
      <c r="G21" s="3">
        <f>IF(E21&lt;2,IF(E21&gt;=1,1,0),0)</f>
        <v>1</v>
      </c>
      <c r="H21" s="3">
        <f>IF(E21&lt;1,1,0)</f>
        <v>0</v>
      </c>
    </row>
    <row r="22" spans="1:8">
      <c r="A22">
        <v>20</v>
      </c>
      <c r="C22">
        <v>1</v>
      </c>
      <c r="D22" s="2"/>
      <c r="E22" s="15">
        <f t="shared" si="0"/>
        <v>0.13636363636363635</v>
      </c>
      <c r="F22" s="3">
        <f>IF(E22&gt;=2,1,0)</f>
        <v>0</v>
      </c>
      <c r="G22" s="3">
        <f>IF(E22&lt;2,IF(E22&gt;=1,1,0),0)</f>
        <v>0</v>
      </c>
      <c r="H22" s="3">
        <f>IF(E22&lt;1,1,0)</f>
        <v>1</v>
      </c>
    </row>
    <row r="23" spans="1:8">
      <c r="A23">
        <v>21</v>
      </c>
      <c r="C23">
        <v>8</v>
      </c>
      <c r="D23" s="2"/>
      <c r="E23" s="15">
        <f t="shared" si="0"/>
        <v>1.0909090909090908</v>
      </c>
      <c r="F23" s="3">
        <f>IF(E23&gt;=2,1,0)</f>
        <v>0</v>
      </c>
      <c r="G23" s="3">
        <f>IF(E23&lt;2,IF(E23&gt;=1,1,0),0)</f>
        <v>1</v>
      </c>
      <c r="H23" s="3">
        <f>IF(E23&lt;1,1,0)</f>
        <v>0</v>
      </c>
    </row>
    <row r="24" spans="1:8">
      <c r="A24">
        <v>22</v>
      </c>
      <c r="C24">
        <v>0</v>
      </c>
      <c r="D24" s="2"/>
      <c r="E24" s="15">
        <f t="shared" si="0"/>
        <v>0</v>
      </c>
      <c r="F24" s="3">
        <f>IF(E24&gt;=2,1,0)</f>
        <v>0</v>
      </c>
      <c r="G24" s="3">
        <f>IF(E24&lt;2,IF(E24&gt;=1,1,0),0)</f>
        <v>0</v>
      </c>
      <c r="H24" s="3">
        <f>IF(E24&lt;1,1,0)</f>
        <v>1</v>
      </c>
    </row>
    <row r="25" spans="1:8">
      <c r="A25">
        <v>23</v>
      </c>
      <c r="C25">
        <v>21</v>
      </c>
      <c r="D25" s="2"/>
      <c r="E25" s="15">
        <f t="shared" si="0"/>
        <v>2.8636363636363638</v>
      </c>
      <c r="F25" s="3">
        <f>IF(E25&gt;=2,1,0)</f>
        <v>1</v>
      </c>
      <c r="G25" s="3">
        <f>IF(E25&lt;2,IF(E25&gt;=1,1,0),0)</f>
        <v>0</v>
      </c>
      <c r="H25" s="3">
        <f>IF(E25&lt;1,1,0)</f>
        <v>0</v>
      </c>
    </row>
    <row r="26" spans="1:8">
      <c r="A26">
        <v>24</v>
      </c>
      <c r="C26">
        <v>15</v>
      </c>
      <c r="D26" s="2"/>
      <c r="E26" s="15">
        <f t="shared" si="0"/>
        <v>2.0454545454545454</v>
      </c>
      <c r="F26" s="3">
        <f>IF(E26&gt;=2,1,0)</f>
        <v>1</v>
      </c>
      <c r="G26" s="3">
        <f>IF(E26&lt;2,IF(E26&gt;=1,1,0),0)</f>
        <v>0</v>
      </c>
      <c r="H26" s="3">
        <f>IF(E26&lt;1,1,0)</f>
        <v>0</v>
      </c>
    </row>
    <row r="27" spans="1:8">
      <c r="A27">
        <v>25</v>
      </c>
      <c r="C27">
        <v>6</v>
      </c>
      <c r="D27" s="2"/>
      <c r="E27" s="15">
        <f t="shared" si="0"/>
        <v>0.81818181818181823</v>
      </c>
      <c r="F27" s="3">
        <f>IF(E27&gt;=2,1,0)</f>
        <v>0</v>
      </c>
      <c r="G27" s="3">
        <f>IF(E27&lt;2,IF(E27&gt;=1,1,0),0)</f>
        <v>0</v>
      </c>
      <c r="H27" s="3">
        <f>IF(E27&lt;1,1,0)</f>
        <v>1</v>
      </c>
    </row>
    <row r="28" spans="1:8">
      <c r="A28">
        <v>26</v>
      </c>
      <c r="C28">
        <v>15</v>
      </c>
      <c r="D28" s="2"/>
      <c r="E28" s="15">
        <f t="shared" si="0"/>
        <v>2.0454545454545454</v>
      </c>
      <c r="F28" s="3">
        <f>IF(E28&gt;=2,1,0)</f>
        <v>1</v>
      </c>
      <c r="G28" s="3">
        <f>IF(E28&lt;2,IF(E28&gt;=1,1,0),0)</f>
        <v>0</v>
      </c>
      <c r="H28" s="3">
        <f>IF(E28&lt;1,1,0)</f>
        <v>0</v>
      </c>
    </row>
    <row r="29" spans="1:8">
      <c r="A29">
        <v>27</v>
      </c>
      <c r="C29">
        <v>15</v>
      </c>
      <c r="D29" s="2"/>
      <c r="E29" s="15">
        <f t="shared" si="0"/>
        <v>2.0454545454545454</v>
      </c>
      <c r="F29" s="3">
        <f>IF(E29&gt;=2,1,0)</f>
        <v>1</v>
      </c>
      <c r="G29" s="3">
        <f>IF(E29&lt;2,IF(E29&gt;=1,1,0),0)</f>
        <v>0</v>
      </c>
      <c r="H29" s="3">
        <f>IF(E29&lt;1,1,0)</f>
        <v>0</v>
      </c>
    </row>
    <row r="30" spans="1:8">
      <c r="A30">
        <v>28</v>
      </c>
      <c r="C30">
        <v>17</v>
      </c>
      <c r="D30" s="2"/>
      <c r="E30" s="15">
        <f t="shared" si="0"/>
        <v>2.3181818181818183</v>
      </c>
      <c r="F30" s="3">
        <f>IF(E30&gt;=2,1,0)</f>
        <v>1</v>
      </c>
      <c r="G30" s="3">
        <f>IF(E30&lt;2,IF(E30&gt;=1,1,0),0)</f>
        <v>0</v>
      </c>
      <c r="H30" s="3">
        <f>IF(E30&lt;1,1,0)</f>
        <v>0</v>
      </c>
    </row>
    <row r="31" spans="1:8">
      <c r="A31">
        <v>29</v>
      </c>
      <c r="C31">
        <v>18</v>
      </c>
      <c r="D31" s="2"/>
      <c r="E31" s="15">
        <f t="shared" si="0"/>
        <v>2.4545454545454546</v>
      </c>
      <c r="F31" s="3">
        <f>IF(E31&gt;=2,1,0)</f>
        <v>1</v>
      </c>
      <c r="G31" s="3">
        <f>IF(E31&lt;2,IF(E31&gt;=1,1,0),0)</f>
        <v>0</v>
      </c>
      <c r="H31" s="3">
        <f>IF(E31&lt;1,1,0)</f>
        <v>0</v>
      </c>
    </row>
    <row r="32" spans="1:8">
      <c r="A32">
        <v>30</v>
      </c>
      <c r="C32">
        <v>8</v>
      </c>
      <c r="D32" s="2"/>
      <c r="E32" s="15">
        <f t="shared" si="0"/>
        <v>1.0909090909090908</v>
      </c>
      <c r="F32" s="3">
        <f>IF(E32&gt;=2,1,0)</f>
        <v>0</v>
      </c>
      <c r="G32" s="3">
        <f>IF(E32&lt;2,IF(E32&gt;=1,1,0),0)</f>
        <v>1</v>
      </c>
      <c r="H32" s="3">
        <f>IF(E32&lt;1,1,0)</f>
        <v>0</v>
      </c>
    </row>
    <row r="33" spans="1:9">
      <c r="A33">
        <v>31</v>
      </c>
      <c r="C33">
        <v>22</v>
      </c>
      <c r="E33" s="15">
        <f t="shared" si="0"/>
        <v>3</v>
      </c>
      <c r="F33" s="3">
        <f>IF(E33&gt;=2,1,0)</f>
        <v>1</v>
      </c>
      <c r="G33" s="3">
        <f>IF(E33&lt;2,IF(E33&gt;=1,1,0),0)</f>
        <v>0</v>
      </c>
      <c r="H33" s="3">
        <f>IF(E33&lt;1,1,0)</f>
        <v>0</v>
      </c>
    </row>
    <row r="34" spans="1:9">
      <c r="A34">
        <v>32</v>
      </c>
      <c r="C34">
        <v>20</v>
      </c>
      <c r="E34" s="15">
        <f t="shared" ref="E34:E38" si="1">C34*3/22</f>
        <v>2.7272727272727271</v>
      </c>
      <c r="F34" s="3">
        <f>IF(E34&gt;=2,1,0)</f>
        <v>1</v>
      </c>
      <c r="G34" s="3">
        <f>IF(E34&lt;2,IF(E34&gt;=1,1,0),0)</f>
        <v>0</v>
      </c>
      <c r="H34" s="3">
        <f>IF(E34&lt;1,1,0)</f>
        <v>0</v>
      </c>
    </row>
    <row r="35" spans="1:9">
      <c r="A35">
        <v>33</v>
      </c>
      <c r="C35">
        <v>20</v>
      </c>
      <c r="E35" s="15">
        <f t="shared" si="1"/>
        <v>2.7272727272727271</v>
      </c>
      <c r="F35" s="3">
        <f>IF(E35&gt;=2,1,0)</f>
        <v>1</v>
      </c>
      <c r="G35" s="3">
        <f>IF(E35&lt;2,IF(E35&gt;=1,1,0),0)</f>
        <v>0</v>
      </c>
      <c r="H35" s="3">
        <f>IF(E35&lt;1,1,0)</f>
        <v>0</v>
      </c>
    </row>
    <row r="36" spans="1:9">
      <c r="A36">
        <v>34</v>
      </c>
      <c r="C36">
        <v>12</v>
      </c>
      <c r="E36" s="15">
        <f t="shared" si="1"/>
        <v>1.6363636363636365</v>
      </c>
      <c r="F36" s="3">
        <f>IF(E36&gt;=2,1,0)</f>
        <v>0</v>
      </c>
      <c r="G36" s="3">
        <f>IF(E36&lt;2,IF(E36&gt;=1,1,0),0)</f>
        <v>1</v>
      </c>
      <c r="H36" s="3">
        <f>IF(E36&lt;1,1,0)</f>
        <v>0</v>
      </c>
    </row>
    <row r="37" spans="1:9">
      <c r="A37">
        <v>35</v>
      </c>
      <c r="C37">
        <v>13</v>
      </c>
      <c r="E37" s="15">
        <f t="shared" si="1"/>
        <v>1.7727272727272727</v>
      </c>
      <c r="F37" s="3">
        <f>IF(E37&gt;=2,1,0)</f>
        <v>0</v>
      </c>
      <c r="G37" s="3">
        <f>IF(E37&lt;2,IF(E37&gt;=1,1,0),0)</f>
        <v>1</v>
      </c>
      <c r="H37" s="3">
        <f>IF(E37&lt;1,1,0)</f>
        <v>0</v>
      </c>
    </row>
    <row r="38" spans="1:9">
      <c r="A38">
        <v>36</v>
      </c>
      <c r="C38">
        <v>4</v>
      </c>
      <c r="E38" s="15">
        <f t="shared" si="1"/>
        <v>0.54545454545454541</v>
      </c>
      <c r="F38" s="3">
        <f>IF(E38&gt;=2,1,0)</f>
        <v>0</v>
      </c>
      <c r="G38" s="3">
        <f>IF(E38&lt;2,IF(E38&gt;=1,1,0),0)</f>
        <v>0</v>
      </c>
      <c r="H38" s="3">
        <f>IF(E38&lt;1,1,0)</f>
        <v>1</v>
      </c>
    </row>
    <row r="39" spans="1:9">
      <c r="A39" s="1"/>
      <c r="E39" t="s">
        <v>3</v>
      </c>
      <c r="F39" s="3">
        <f>SUM(F3:F38)</f>
        <v>20</v>
      </c>
      <c r="G39" s="3">
        <f>SUM(G3:G38)</f>
        <v>7</v>
      </c>
      <c r="H39" s="3">
        <f>SUM(H3:H38)</f>
        <v>9</v>
      </c>
      <c r="I39" s="3">
        <f>SUM(F39:H39)</f>
        <v>36</v>
      </c>
    </row>
    <row r="40" spans="1:9">
      <c r="A40" s="1"/>
    </row>
    <row r="41" spans="1:9">
      <c r="A41" s="1"/>
    </row>
  </sheetData>
  <pageMargins left="0.75" right="0.75" top="1" bottom="1" header="0.5" footer="0.5"/>
  <pageSetup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E3E7-F045-204A-83EB-493C34C50F47}">
  <dimension ref="A1"/>
  <sheetViews>
    <sheetView workbookViewId="0"/>
  </sheetViews>
  <sheetFormatPr baseColWidth="10" defaultRowHeight="2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Fall 2014</vt:lpstr>
      <vt:lpstr>Spring 2015</vt:lpstr>
      <vt:lpstr>Fall 2015</vt:lpstr>
      <vt:lpstr>Fall 2016</vt:lpstr>
      <vt:lpstr>Sheet1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Chaplin</dc:creator>
  <cp:lastModifiedBy>Brian Chaplin</cp:lastModifiedBy>
  <dcterms:created xsi:type="dcterms:W3CDTF">2015-04-13T18:54:44Z</dcterms:created>
  <dcterms:modified xsi:type="dcterms:W3CDTF">2020-03-09T21:29:44Z</dcterms:modified>
</cp:coreProperties>
</file>