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ul/Desktop/ABET /"/>
    </mc:Choice>
  </mc:AlternateContent>
  <xr:revisionPtr revIDLastSave="0" documentId="13_ncr:1_{FA9A7CC0-71EE-2344-8064-FE7FDC5E26A0}" xr6:coauthVersionLast="45" xr6:coauthVersionMax="45" xr10:uidLastSave="{00000000-0000-0000-0000-000000000000}"/>
  <bookViews>
    <workbookView xWindow="760" yWindow="960" windowWidth="18300" windowHeight="16100" firstSheet="1" activeTab="3" xr2:uid="{5C37016A-23B7-6147-962F-696AA7C4C938}"/>
  </bookViews>
  <sheets>
    <sheet name="CHE 397Spring2019 final report" sheetId="1" r:id="rId1"/>
    <sheet name="CHE 397 Spring 2019 report 3" sheetId="3" r:id="rId2"/>
    <sheet name="CHE 397Spring2019 final ppt" sheetId="2" r:id="rId3"/>
    <sheet name="CHE 397 Spring 2019 ppt 3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1" i="4" l="1"/>
  <c r="E70" i="4"/>
  <c r="D72" i="3"/>
  <c r="D71" i="3"/>
  <c r="N68" i="4"/>
  <c r="M68" i="4"/>
  <c r="L68" i="4"/>
  <c r="K68" i="4"/>
  <c r="J68" i="4"/>
  <c r="I68" i="4"/>
  <c r="H68" i="4"/>
  <c r="G68" i="4"/>
  <c r="F68" i="4"/>
  <c r="E68" i="4"/>
  <c r="N67" i="4"/>
  <c r="M67" i="4"/>
  <c r="L67" i="4"/>
  <c r="K67" i="4"/>
  <c r="J67" i="4"/>
  <c r="I67" i="4"/>
  <c r="H67" i="4"/>
  <c r="G67" i="4"/>
  <c r="F67" i="4"/>
  <c r="E67" i="4"/>
  <c r="M69" i="3"/>
  <c r="L69" i="3"/>
  <c r="K69" i="3"/>
  <c r="J69" i="3"/>
  <c r="I69" i="3"/>
  <c r="H69" i="3"/>
  <c r="G69" i="3"/>
  <c r="F69" i="3"/>
  <c r="E69" i="3"/>
  <c r="D69" i="3"/>
  <c r="M68" i="3"/>
  <c r="L68" i="3"/>
  <c r="K68" i="3"/>
  <c r="J68" i="3"/>
  <c r="I68" i="3"/>
  <c r="H68" i="3"/>
  <c r="G68" i="3"/>
  <c r="F68" i="3"/>
  <c r="E68" i="3"/>
  <c r="D68" i="3"/>
  <c r="N68" i="2"/>
  <c r="M68" i="2"/>
  <c r="L68" i="2"/>
  <c r="K68" i="2"/>
  <c r="J68" i="2"/>
  <c r="I68" i="2"/>
  <c r="H68" i="2"/>
  <c r="G68" i="2"/>
  <c r="F68" i="2"/>
  <c r="E68" i="2"/>
  <c r="N67" i="2"/>
  <c r="M67" i="2"/>
  <c r="L67" i="2"/>
  <c r="K67" i="2"/>
  <c r="J67" i="2"/>
  <c r="I67" i="2"/>
  <c r="E71" i="2" s="1"/>
  <c r="H67" i="2"/>
  <c r="G67" i="2"/>
  <c r="F67" i="2"/>
  <c r="E67" i="2"/>
  <c r="E70" i="2" s="1"/>
  <c r="M69" i="1"/>
  <c r="L69" i="1"/>
  <c r="K69" i="1"/>
  <c r="J69" i="1"/>
  <c r="I69" i="1"/>
  <c r="H69" i="1"/>
  <c r="G69" i="1"/>
  <c r="F69" i="1"/>
  <c r="E69" i="1"/>
  <c r="D69" i="1"/>
  <c r="M68" i="1"/>
  <c r="L68" i="1"/>
  <c r="K68" i="1"/>
  <c r="J68" i="1"/>
  <c r="I68" i="1"/>
  <c r="H68" i="1"/>
  <c r="G68" i="1"/>
  <c r="F68" i="1"/>
  <c r="D72" i="1" s="1"/>
  <c r="E68" i="1"/>
  <c r="D68" i="1"/>
  <c r="D71" i="1" s="1"/>
</calcChain>
</file>

<file path=xl/sharedStrings.xml><?xml version="1.0" encoding="utf-8"?>
<sst xmlns="http://schemas.openxmlformats.org/spreadsheetml/2006/main" count="140" uniqueCount="33">
  <si>
    <t>Group number</t>
  </si>
  <si>
    <t>Student number</t>
  </si>
  <si>
    <t>Clarity of report</t>
  </si>
  <si>
    <t>Report Formatting_figures/tables/referencing/significant figures</t>
  </si>
  <si>
    <t>Executive Summary</t>
  </si>
  <si>
    <t>Introduction/market analysis</t>
  </si>
  <si>
    <t>PFD/Equipment sizing</t>
  </si>
  <si>
    <t>Material balance</t>
  </si>
  <si>
    <t>Safety and Environmental hazards and Process Safety Analysis (HAZOP)</t>
  </si>
  <si>
    <t>Process Controls</t>
  </si>
  <si>
    <t>Economic Analysis</t>
  </si>
  <si>
    <t>Sensitivity Analysis and Recommendation</t>
  </si>
  <si>
    <t>Raw Total</t>
  </si>
  <si>
    <t xml:space="preserve">Rubric Item </t>
  </si>
  <si>
    <t>Mapped SLO</t>
  </si>
  <si>
    <t>3,2</t>
  </si>
  <si>
    <t>Avg</t>
  </si>
  <si>
    <t>STD</t>
  </si>
  <si>
    <t xml:space="preserve">SLO 3 (written)  Overall Avg </t>
  </si>
  <si>
    <t>SLO 2 Overall Avg</t>
  </si>
  <si>
    <t>Delivery_Organization</t>
  </si>
  <si>
    <t>Delivery_Language/Enthusiasm/Eye contact</t>
  </si>
  <si>
    <t>Delivery_Time/Equal distribution of work</t>
  </si>
  <si>
    <t>Style_Clear graphs/figures/referencing/text</t>
  </si>
  <si>
    <t>PFD/material balance/equipment sizing</t>
  </si>
  <si>
    <t>Safety and Environmental Hazards</t>
  </si>
  <si>
    <t xml:space="preserve">SLO 3 (oral)  Overall Avg </t>
  </si>
  <si>
    <t>Number of Significant Figures/Consistent Units</t>
  </si>
  <si>
    <t xml:space="preserve">Clarity/Relevance/Heading/Numbering of Figures/Tables </t>
  </si>
  <si>
    <t xml:space="preserve">Referencing </t>
  </si>
  <si>
    <t>Process Safety Analysis (HAZOP)</t>
  </si>
  <si>
    <t>Style_Readable Text/relevant sig figures/consistent units</t>
  </si>
  <si>
    <t xml:space="preserve">Process Safety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</si>
</sst>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3" borderId="2" xfId="0" applyFont="1" applyFill="1" applyBorder="1"/>
    <xf numFmtId="0" fontId="0" fillId="4" borderId="1" xfId="0" applyFill="1" applyBorder="1"/>
    <xf numFmtId="0" fontId="2" fillId="5" borderId="3" xfId="0" applyFont="1" applyFill="1" applyBorder="1"/>
    <xf numFmtId="0" fontId="0" fillId="4" borderId="4" xfId="0" applyFill="1" applyBorder="1"/>
    <xf numFmtId="0" fontId="0" fillId="4" borderId="0" xfId="0" applyFill="1"/>
    <xf numFmtId="0" fontId="1" fillId="5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1F3B7-8548-FA45-8613-51ACFE71C7E0}" name="Table2" displayName="Table2" ref="B1:N62" totalsRowShown="0">
  <autoFilter ref="B1:N62" xr:uid="{BA739067-8852-F647-88DA-1B69FDF9B8A5}"/>
  <tableColumns count="13">
    <tableColumn id="1" xr3:uid="{4C827CC5-2F70-F340-BA90-6315696B71BC}" name="Group number"/>
    <tableColumn id="2" xr3:uid="{7AC0F39E-816E-0E4D-9705-883134BAE1E7}" name="Student number"/>
    <tableColumn id="3" xr3:uid="{3B66E8CF-AE85-BD4F-BD77-4FA80BC9F26C}" name="Clarity of report"/>
    <tableColumn id="4" xr3:uid="{0DA26209-B6D1-6646-84AC-F8357FF88890}" name="Report Formatting_figures/tables/referencing/significant figures"/>
    <tableColumn id="5" xr3:uid="{5603B38C-5B1B-744B-AC38-938FC9F0ADE3}" name="Executive Summary"/>
    <tableColumn id="6" xr3:uid="{A43B036E-D665-7D4A-8A9F-B512B52B15A1}" name="Introduction/market analysis"/>
    <tableColumn id="7" xr3:uid="{76A350A5-00AD-D842-A084-78DCAFA18A7C}" name="PFD/Equipment sizing"/>
    <tableColumn id="8" xr3:uid="{ACA01CEF-BC1B-E94F-B31D-C70239292855}" name="Material balance"/>
    <tableColumn id="9" xr3:uid="{34614FB2-BA9F-3A4B-A6CB-94675F5AB215}" name="Safety and Environmental hazards and Process Safety Analysis (HAZOP)"/>
    <tableColumn id="10" xr3:uid="{FE880762-7E91-884A-8039-B53AF88F701F}" name="Process Controls"/>
    <tableColumn id="11" xr3:uid="{F340DA76-8C3D-4A41-9E8C-70DEF9D277F0}" name="Economic Analysis"/>
    <tableColumn id="12" xr3:uid="{2C4012F6-D63A-E74A-8050-13C050A4DD67}" name="Sensitivity Analysis and Recommendation"/>
    <tableColumn id="13" xr3:uid="{4113C934-628F-004B-8943-7D77CFEB8965}" name="Raw Tot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01A470-83F4-D14A-94FA-7FBCC30273D6}" name="Table24" displayName="Table24" ref="B1:N62" totalsRowShown="0">
  <autoFilter ref="B1:N62" xr:uid="{F5BD55A5-E5D5-334B-A0B5-C99B4A7CF7C3}"/>
  <tableColumns count="13">
    <tableColumn id="1" xr3:uid="{FC398D70-9222-1840-B4BE-555DC1BF3825}" name="Group number"/>
    <tableColumn id="2" xr3:uid="{12988135-5482-CF48-A746-FE98CB7F5AB0}" name="Student number"/>
    <tableColumn id="3" xr3:uid="{0F8FAB0B-523F-B449-BD09-C7493CDB3F9C}" name="Clarity of report"/>
    <tableColumn id="4" xr3:uid="{9AFBAE80-5210-E34E-8AB1-20EAE8FDE451}" name="Report Formatting_figures/tables/referencing/significant figures"/>
    <tableColumn id="5" xr3:uid="{23CED504-5AB1-B240-B835-232087A373EB}" name="Number of Significant Figures/Consistent Units"/>
    <tableColumn id="6" xr3:uid="{BE5E54E7-B28F-F243-A9A7-A0BA7C17021A}" name="Clarity/Relevance/Heading/Numbering of Figures/Tables "/>
    <tableColumn id="7" xr3:uid="{91CE2BC1-5B78-7A44-93FE-387F78FD51A4}" name="Referencing "/>
    <tableColumn id="8" xr3:uid="{404D09E0-27F8-BA49-B340-5621FD4E273F}" name="Safety and Environmental Hazards"/>
    <tableColumn id="9" xr3:uid="{B560D18B-8F01-8D46-BD68-533795A9B562}" name="Process Safety Analysis (HAZOP)"/>
    <tableColumn id="10" xr3:uid="{7E75DFE0-DCD2-6345-91D6-4A75372E865F}" name="Process Controls"/>
    <tableColumn id="11" xr3:uid="{1709CBFB-D2D1-5C4F-9514-B0DE9386C17E}" name="Economic Analysis"/>
    <tableColumn id="12" xr3:uid="{AB9856E0-B772-3747-A87E-EE94441CCDB1}" name="Sensitivity Analysis and Recommendation"/>
    <tableColumn id="13" xr3:uid="{674FEC23-4DFA-3047-A794-B480A024D5E0}" name="Raw Total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27BEB0-1D23-4645-AFDD-B38F8145FA79}" name="Table3" displayName="Table3" ref="C1:O62" totalsRowShown="0">
  <autoFilter ref="C1:O62" xr:uid="{0BEAA2EB-5084-8B48-AA55-45EE99A5A170}"/>
  <tableColumns count="13">
    <tableColumn id="1" xr3:uid="{3D9C32E7-C281-624E-8533-7E7A5A626000}" name="Group number"/>
    <tableColumn id="2" xr3:uid="{84C30245-BB17-8B44-A8AA-40EEF2822B7D}" name="Student number"/>
    <tableColumn id="3" xr3:uid="{0A108371-7721-0A4F-B75F-C795A6114D3B}" name="Delivery_Organization"/>
    <tableColumn id="4" xr3:uid="{E7A0DADB-48B3-1B48-938A-640827C2C799}" name="Delivery_Language/Enthusiasm/Eye contact"/>
    <tableColumn id="5" xr3:uid="{8FDD8443-8DC6-7B4A-B319-257401D4F0BD}" name="Delivery_Time/Equal distribution of work"/>
    <tableColumn id="6" xr3:uid="{38143E6E-C9CB-894B-93AC-246172F6D978}" name="Style_Clear graphs/figures/referencing/text"/>
    <tableColumn id="7" xr3:uid="{1A59C421-6DB5-CD43-948E-8BC613F3664F}" name="Introduction/market analysis"/>
    <tableColumn id="8" xr3:uid="{9F6D1720-5A87-3241-9D26-2BA752763F07}" name="PFD/material balance/equipment sizing"/>
    <tableColumn id="9" xr3:uid="{35D45405-603B-1F43-BF67-4BA8A8A4B31B}" name="Safety and Environmental Hazards"/>
    <tableColumn id="10" xr3:uid="{38D1C9AD-110D-0C48-8EB6-3023651E9826}" name="Process Controls"/>
    <tableColumn id="11" xr3:uid="{FD9E7C2A-E97E-9B42-88C6-361BAAFD95FA}" name="Economic Analysis"/>
    <tableColumn id="12" xr3:uid="{1F49D6EF-E15A-3D43-BAC8-542F1591EAA2}" name="Sensitivity Analysis and Recommendation"/>
    <tableColumn id="13" xr3:uid="{68C0B4D2-B485-334E-A6F6-EB54EDA8C138}" name="Raw Total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853FEB-859A-424E-9099-132D44764144}" name="Table35" displayName="Table35" ref="C1:O62" totalsRowShown="0">
  <autoFilter ref="C1:O62" xr:uid="{7DA2558B-8076-6343-BBF0-977B4F2B802D}"/>
  <tableColumns count="13">
    <tableColumn id="1" xr3:uid="{9AB620E6-1295-7949-9FEC-EF6A2B474AD4}" name="Group number"/>
    <tableColumn id="2" xr3:uid="{7F117E7A-AFDF-6343-AE7E-EDE5F16C9B4F}" name="Student number"/>
    <tableColumn id="3" xr3:uid="{C0753DF1-D23F-2948-A207-67A4DD51CFDC}" name="Delivery_Organization"/>
    <tableColumn id="4" xr3:uid="{9A58D324-1495-EE4C-A666-23E8E32557CD}" name="Delivery_Language/Enthusiasm/Eye contact"/>
    <tableColumn id="5" xr3:uid="{506E8BD4-324A-EE42-A4AB-D9035DA5D0AE}" name="Delivery_Time/Equal distribution of work"/>
    <tableColumn id="6" xr3:uid="{68D4680B-594D-534E-B4A2-5D98A2CA5298}" name="Style_Clear graphs/figures/referencing/text"/>
    <tableColumn id="7" xr3:uid="{2DC1C5CE-300C-FB48-BCBD-C98B4A49D417}" name="Style_Readable Text/relevant sig figures/consistent units"/>
    <tableColumn id="8" xr3:uid="{68828FA0-1CBA-2F48-AB66-CC1D4028B843}" name="Safety and Environmental Hazards"/>
    <tableColumn id="9" xr3:uid="{14C85772-BABF-E041-BCBD-EED586DB89FB}" name="Process Safety Analysis "/>
    <tableColumn id="10" xr3:uid="{DB54E539-CE13-4B46-A3FE-CBED7B5A084E}" name="Process Controls"/>
    <tableColumn id="11" xr3:uid="{4CE9412E-B757-7643-9D1F-60309DBB5219}" name="Economic Analysis"/>
    <tableColumn id="12" xr3:uid="{530DAA78-FAE2-2F4C-8A8F-D0D46850D567}" name="Sensitivity Analysis and Recommendation"/>
    <tableColumn id="13" xr3:uid="{13C0ADEE-EA5A-2F4F-9509-CCBA77E65E0C}" name="Raw Tot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AEB2-5651-6146-94DF-C7946FD46861}">
  <dimension ref="B1:N72"/>
  <sheetViews>
    <sheetView topLeftCell="A50" workbookViewId="0">
      <selection activeCell="I77" sqref="I77"/>
    </sheetView>
  </sheetViews>
  <sheetFormatPr baseColWidth="10" defaultRowHeight="16"/>
  <cols>
    <col min="2" max="2" width="15" customWidth="1"/>
    <col min="3" max="3" width="6" customWidth="1"/>
    <col min="4" max="4" width="9.33203125" customWidth="1"/>
    <col min="5" max="14" width="10.5" customWidth="1"/>
  </cols>
  <sheetData>
    <row r="1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>
      <c r="B2">
        <v>2</v>
      </c>
      <c r="C2">
        <v>1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94</v>
      </c>
    </row>
    <row r="3" spans="2:14">
      <c r="B3">
        <v>2</v>
      </c>
      <c r="C3">
        <v>2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94</v>
      </c>
    </row>
    <row r="4" spans="2:14">
      <c r="B4">
        <v>2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94</v>
      </c>
    </row>
    <row r="5" spans="2:14">
      <c r="B5">
        <v>2</v>
      </c>
      <c r="C5">
        <v>4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94</v>
      </c>
    </row>
    <row r="6" spans="2:14">
      <c r="B6">
        <v>10</v>
      </c>
      <c r="C6">
        <v>1</v>
      </c>
      <c r="D6">
        <v>3</v>
      </c>
      <c r="E6">
        <v>3</v>
      </c>
      <c r="F6">
        <v>1</v>
      </c>
      <c r="G6">
        <v>1</v>
      </c>
      <c r="H6">
        <v>3</v>
      </c>
      <c r="I6">
        <v>3</v>
      </c>
      <c r="J6">
        <v>3</v>
      </c>
      <c r="K6">
        <v>3</v>
      </c>
      <c r="L6">
        <v>3</v>
      </c>
      <c r="M6">
        <v>2</v>
      </c>
      <c r="N6">
        <v>82</v>
      </c>
    </row>
    <row r="7" spans="2:14">
      <c r="B7">
        <v>10</v>
      </c>
      <c r="C7">
        <v>2</v>
      </c>
      <c r="D7">
        <v>3</v>
      </c>
      <c r="E7">
        <v>3</v>
      </c>
      <c r="F7">
        <v>1</v>
      </c>
      <c r="G7">
        <v>1</v>
      </c>
      <c r="H7">
        <v>3</v>
      </c>
      <c r="I7">
        <v>3</v>
      </c>
      <c r="J7">
        <v>3</v>
      </c>
      <c r="K7">
        <v>3</v>
      </c>
      <c r="L7">
        <v>3</v>
      </c>
      <c r="M7">
        <v>2</v>
      </c>
      <c r="N7">
        <v>82</v>
      </c>
    </row>
    <row r="8" spans="2:14">
      <c r="B8">
        <v>10</v>
      </c>
      <c r="C8">
        <v>3</v>
      </c>
      <c r="D8">
        <v>3</v>
      </c>
      <c r="E8">
        <v>3</v>
      </c>
      <c r="F8">
        <v>1</v>
      </c>
      <c r="G8">
        <v>1</v>
      </c>
      <c r="H8">
        <v>3</v>
      </c>
      <c r="I8">
        <v>3</v>
      </c>
      <c r="J8">
        <v>3</v>
      </c>
      <c r="K8">
        <v>3</v>
      </c>
      <c r="L8">
        <v>3</v>
      </c>
      <c r="M8">
        <v>2</v>
      </c>
      <c r="N8">
        <v>82</v>
      </c>
    </row>
    <row r="9" spans="2:14">
      <c r="B9">
        <v>10</v>
      </c>
      <c r="C9">
        <v>4</v>
      </c>
      <c r="D9">
        <v>3</v>
      </c>
      <c r="E9">
        <v>3</v>
      </c>
      <c r="F9">
        <v>1</v>
      </c>
      <c r="G9">
        <v>1</v>
      </c>
      <c r="H9">
        <v>3</v>
      </c>
      <c r="I9">
        <v>3</v>
      </c>
      <c r="J9">
        <v>3</v>
      </c>
      <c r="K9">
        <v>3</v>
      </c>
      <c r="L9">
        <v>3</v>
      </c>
      <c r="M9">
        <v>2</v>
      </c>
      <c r="N9">
        <v>82</v>
      </c>
    </row>
    <row r="10" spans="2:14">
      <c r="B10">
        <v>3</v>
      </c>
      <c r="C10">
        <v>1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96</v>
      </c>
    </row>
    <row r="11" spans="2:14">
      <c r="B11">
        <v>3</v>
      </c>
      <c r="C11">
        <v>2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96</v>
      </c>
    </row>
    <row r="12" spans="2:14"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96</v>
      </c>
    </row>
    <row r="13" spans="2:14">
      <c r="B13">
        <v>3</v>
      </c>
      <c r="C13">
        <v>4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96</v>
      </c>
    </row>
    <row r="14" spans="2:14">
      <c r="B14">
        <v>14</v>
      </c>
      <c r="C14">
        <v>1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98</v>
      </c>
    </row>
    <row r="15" spans="2:14">
      <c r="B15">
        <v>14</v>
      </c>
      <c r="C15">
        <v>2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98</v>
      </c>
    </row>
    <row r="16" spans="2:14">
      <c r="B16">
        <v>14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98</v>
      </c>
    </row>
    <row r="17" spans="2:14">
      <c r="B17">
        <v>14</v>
      </c>
      <c r="C17">
        <v>4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98</v>
      </c>
    </row>
    <row r="18" spans="2:14">
      <c r="B18">
        <v>14</v>
      </c>
      <c r="C18">
        <v>5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98</v>
      </c>
    </row>
    <row r="19" spans="2:14">
      <c r="B19">
        <v>5</v>
      </c>
      <c r="C19">
        <v>1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100</v>
      </c>
    </row>
    <row r="20" spans="2:14">
      <c r="B20">
        <v>5</v>
      </c>
      <c r="C20">
        <v>2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100</v>
      </c>
    </row>
    <row r="21" spans="2:14">
      <c r="B21">
        <v>5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100</v>
      </c>
    </row>
    <row r="22" spans="2:14">
      <c r="B22">
        <v>5</v>
      </c>
      <c r="C22">
        <v>4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100</v>
      </c>
    </row>
    <row r="23" spans="2:14">
      <c r="B23">
        <v>11</v>
      </c>
      <c r="C23">
        <v>1</v>
      </c>
      <c r="D23">
        <v>3</v>
      </c>
      <c r="E23">
        <v>3</v>
      </c>
      <c r="F23">
        <v>1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90</v>
      </c>
    </row>
    <row r="24" spans="2:14">
      <c r="B24">
        <v>11</v>
      </c>
      <c r="C24">
        <v>2</v>
      </c>
      <c r="D24">
        <v>3</v>
      </c>
      <c r="E24">
        <v>3</v>
      </c>
      <c r="F24">
        <v>1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90</v>
      </c>
    </row>
    <row r="25" spans="2:14">
      <c r="B25">
        <v>11</v>
      </c>
      <c r="C25">
        <v>3</v>
      </c>
      <c r="D25">
        <v>3</v>
      </c>
      <c r="E25">
        <v>3</v>
      </c>
      <c r="F25">
        <v>1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90</v>
      </c>
    </row>
    <row r="26" spans="2:14">
      <c r="B26">
        <v>11</v>
      </c>
      <c r="C26">
        <v>4</v>
      </c>
      <c r="D26">
        <v>3</v>
      </c>
      <c r="E26">
        <v>3</v>
      </c>
      <c r="F26">
        <v>1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90</v>
      </c>
    </row>
    <row r="27" spans="2:14">
      <c r="B27">
        <v>4</v>
      </c>
      <c r="C27">
        <v>1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94</v>
      </c>
    </row>
    <row r="28" spans="2:14">
      <c r="B28">
        <v>4</v>
      </c>
      <c r="C28">
        <v>2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94</v>
      </c>
    </row>
    <row r="29" spans="2:14">
      <c r="B29">
        <v>4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94</v>
      </c>
    </row>
    <row r="30" spans="2:14">
      <c r="B30">
        <v>4</v>
      </c>
      <c r="C30">
        <v>4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94</v>
      </c>
    </row>
    <row r="31" spans="2:14">
      <c r="B31">
        <v>8</v>
      </c>
      <c r="C31">
        <v>1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98</v>
      </c>
    </row>
    <row r="32" spans="2:14">
      <c r="B32">
        <v>8</v>
      </c>
      <c r="C32">
        <v>2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98</v>
      </c>
    </row>
    <row r="33" spans="2:14">
      <c r="B33">
        <v>8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98</v>
      </c>
    </row>
    <row r="34" spans="2:14">
      <c r="B34">
        <v>8</v>
      </c>
      <c r="C34">
        <v>4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98</v>
      </c>
    </row>
    <row r="35" spans="2:14">
      <c r="B35">
        <v>8</v>
      </c>
      <c r="C35">
        <v>5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98</v>
      </c>
    </row>
    <row r="36" spans="2:14">
      <c r="B36">
        <v>7</v>
      </c>
      <c r="C36">
        <v>1</v>
      </c>
      <c r="D36">
        <v>3</v>
      </c>
      <c r="E36">
        <v>3</v>
      </c>
      <c r="F36">
        <v>3</v>
      </c>
      <c r="G36">
        <v>2</v>
      </c>
      <c r="H36">
        <v>3</v>
      </c>
      <c r="I36">
        <v>3</v>
      </c>
      <c r="J36">
        <v>3</v>
      </c>
      <c r="K36">
        <v>3</v>
      </c>
      <c r="L36">
        <v>3</v>
      </c>
      <c r="M36">
        <v>2</v>
      </c>
      <c r="N36">
        <v>90</v>
      </c>
    </row>
    <row r="37" spans="2:14">
      <c r="B37">
        <v>7</v>
      </c>
      <c r="C37">
        <v>2</v>
      </c>
      <c r="D37">
        <v>3</v>
      </c>
      <c r="E37">
        <v>3</v>
      </c>
      <c r="F37">
        <v>3</v>
      </c>
      <c r="G37">
        <v>2</v>
      </c>
      <c r="H37">
        <v>3</v>
      </c>
      <c r="I37">
        <v>3</v>
      </c>
      <c r="J37">
        <v>3</v>
      </c>
      <c r="K37">
        <v>3</v>
      </c>
      <c r="L37">
        <v>3</v>
      </c>
      <c r="M37">
        <v>2</v>
      </c>
      <c r="N37">
        <v>90</v>
      </c>
    </row>
    <row r="38" spans="2:14">
      <c r="B38">
        <v>7</v>
      </c>
      <c r="C38">
        <v>3</v>
      </c>
      <c r="D38">
        <v>3</v>
      </c>
      <c r="E38">
        <v>3</v>
      </c>
      <c r="F38">
        <v>3</v>
      </c>
      <c r="G38">
        <v>2</v>
      </c>
      <c r="H38">
        <v>3</v>
      </c>
      <c r="I38">
        <v>3</v>
      </c>
      <c r="J38">
        <v>3</v>
      </c>
      <c r="K38">
        <v>3</v>
      </c>
      <c r="L38">
        <v>3</v>
      </c>
      <c r="M38">
        <v>2</v>
      </c>
      <c r="N38">
        <v>90</v>
      </c>
    </row>
    <row r="39" spans="2:14">
      <c r="B39">
        <v>7</v>
      </c>
      <c r="C39">
        <v>4</v>
      </c>
      <c r="D39">
        <v>3</v>
      </c>
      <c r="E39">
        <v>3</v>
      </c>
      <c r="F39">
        <v>3</v>
      </c>
      <c r="G39">
        <v>2</v>
      </c>
      <c r="H39">
        <v>3</v>
      </c>
      <c r="I39">
        <v>3</v>
      </c>
      <c r="J39">
        <v>3</v>
      </c>
      <c r="K39">
        <v>3</v>
      </c>
      <c r="L39">
        <v>3</v>
      </c>
      <c r="M39">
        <v>2</v>
      </c>
      <c r="N39">
        <v>90</v>
      </c>
    </row>
    <row r="40" spans="2:14">
      <c r="B40">
        <v>7</v>
      </c>
      <c r="C40">
        <v>5</v>
      </c>
      <c r="D40">
        <v>3</v>
      </c>
      <c r="E40">
        <v>3</v>
      </c>
      <c r="F40">
        <v>3</v>
      </c>
      <c r="G40">
        <v>2</v>
      </c>
      <c r="H40">
        <v>3</v>
      </c>
      <c r="I40">
        <v>3</v>
      </c>
      <c r="J40">
        <v>3</v>
      </c>
      <c r="K40">
        <v>3</v>
      </c>
      <c r="L40">
        <v>3</v>
      </c>
      <c r="M40">
        <v>2</v>
      </c>
      <c r="N40">
        <v>90</v>
      </c>
    </row>
    <row r="41" spans="2:14">
      <c r="B41">
        <v>1</v>
      </c>
      <c r="C41">
        <v>1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94</v>
      </c>
    </row>
    <row r="42" spans="2:14">
      <c r="B42">
        <v>1</v>
      </c>
      <c r="C42">
        <v>2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94</v>
      </c>
    </row>
    <row r="43" spans="2:14">
      <c r="B43">
        <v>1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94</v>
      </c>
    </row>
    <row r="44" spans="2:14">
      <c r="B44">
        <v>1</v>
      </c>
      <c r="C44">
        <v>4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94</v>
      </c>
    </row>
    <row r="45" spans="2:14">
      <c r="B45">
        <v>13</v>
      </c>
      <c r="C45">
        <v>1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98</v>
      </c>
    </row>
    <row r="46" spans="2:14">
      <c r="B46">
        <v>13</v>
      </c>
      <c r="C46">
        <v>2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98</v>
      </c>
    </row>
    <row r="47" spans="2:14">
      <c r="B47">
        <v>13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98</v>
      </c>
    </row>
    <row r="48" spans="2:14">
      <c r="B48">
        <v>13</v>
      </c>
      <c r="C48">
        <v>4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98</v>
      </c>
    </row>
    <row r="49" spans="2:14">
      <c r="B49">
        <v>13</v>
      </c>
      <c r="C49">
        <v>5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98</v>
      </c>
    </row>
    <row r="50" spans="2:14">
      <c r="B50">
        <v>9</v>
      </c>
      <c r="C50">
        <v>1</v>
      </c>
      <c r="D50">
        <v>3</v>
      </c>
      <c r="E50">
        <v>3</v>
      </c>
      <c r="F50">
        <v>3</v>
      </c>
      <c r="G50">
        <v>1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88</v>
      </c>
    </row>
    <row r="51" spans="2:14">
      <c r="B51">
        <v>9</v>
      </c>
      <c r="C51">
        <v>2</v>
      </c>
      <c r="D51">
        <v>3</v>
      </c>
      <c r="E51">
        <v>3</v>
      </c>
      <c r="F51">
        <v>3</v>
      </c>
      <c r="G51">
        <v>1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88</v>
      </c>
    </row>
    <row r="52" spans="2:14">
      <c r="B52">
        <v>9</v>
      </c>
      <c r="C52">
        <v>3</v>
      </c>
      <c r="D52">
        <v>3</v>
      </c>
      <c r="E52">
        <v>3</v>
      </c>
      <c r="F52">
        <v>3</v>
      </c>
      <c r="G52">
        <v>1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88</v>
      </c>
    </row>
    <row r="53" spans="2:14">
      <c r="B53">
        <v>9</v>
      </c>
      <c r="C53">
        <v>4</v>
      </c>
      <c r="D53">
        <v>3</v>
      </c>
      <c r="E53">
        <v>3</v>
      </c>
      <c r="F53">
        <v>3</v>
      </c>
      <c r="G53">
        <v>1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88</v>
      </c>
    </row>
    <row r="54" spans="2:14">
      <c r="B54">
        <v>12</v>
      </c>
      <c r="C54">
        <v>1</v>
      </c>
      <c r="D54">
        <v>3</v>
      </c>
      <c r="E54">
        <v>3</v>
      </c>
      <c r="F54">
        <v>1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1</v>
      </c>
      <c r="N54">
        <v>86</v>
      </c>
    </row>
    <row r="55" spans="2:14">
      <c r="B55">
        <v>12</v>
      </c>
      <c r="C55">
        <v>2</v>
      </c>
      <c r="D55">
        <v>3</v>
      </c>
      <c r="E55">
        <v>3</v>
      </c>
      <c r="F55">
        <v>1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1</v>
      </c>
      <c r="N55">
        <v>86</v>
      </c>
    </row>
    <row r="56" spans="2:14">
      <c r="B56">
        <v>12</v>
      </c>
      <c r="C56">
        <v>3</v>
      </c>
      <c r="D56">
        <v>3</v>
      </c>
      <c r="E56">
        <v>3</v>
      </c>
      <c r="F56">
        <v>1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1</v>
      </c>
      <c r="N56">
        <v>86</v>
      </c>
    </row>
    <row r="57" spans="2:14">
      <c r="B57">
        <v>12</v>
      </c>
      <c r="C57">
        <v>4</v>
      </c>
      <c r="D57">
        <v>3</v>
      </c>
      <c r="E57">
        <v>3</v>
      </c>
      <c r="F57">
        <v>1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1</v>
      </c>
      <c r="N57">
        <v>86</v>
      </c>
    </row>
    <row r="58" spans="2:14">
      <c r="B58">
        <v>12</v>
      </c>
      <c r="C58">
        <v>5</v>
      </c>
      <c r="D58">
        <v>3</v>
      </c>
      <c r="E58">
        <v>3</v>
      </c>
      <c r="F58">
        <v>1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1</v>
      </c>
      <c r="N58">
        <v>86</v>
      </c>
    </row>
    <row r="59" spans="2:14">
      <c r="B59">
        <v>6</v>
      </c>
      <c r="C59">
        <v>1</v>
      </c>
      <c r="D59">
        <v>3</v>
      </c>
      <c r="E59">
        <v>3</v>
      </c>
      <c r="F59">
        <v>3</v>
      </c>
      <c r="G59">
        <v>2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92</v>
      </c>
    </row>
    <row r="60" spans="2:14">
      <c r="B60">
        <v>6</v>
      </c>
      <c r="C60">
        <v>2</v>
      </c>
      <c r="D60">
        <v>3</v>
      </c>
      <c r="E60">
        <v>3</v>
      </c>
      <c r="F60">
        <v>3</v>
      </c>
      <c r="G60">
        <v>2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92</v>
      </c>
    </row>
    <row r="61" spans="2:14">
      <c r="B61">
        <v>6</v>
      </c>
      <c r="C61">
        <v>3</v>
      </c>
      <c r="D61">
        <v>3</v>
      </c>
      <c r="E61">
        <v>3</v>
      </c>
      <c r="F61">
        <v>3</v>
      </c>
      <c r="G61">
        <v>2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92</v>
      </c>
    </row>
    <row r="62" spans="2:14">
      <c r="B62">
        <v>6</v>
      </c>
      <c r="C62">
        <v>4</v>
      </c>
      <c r="D62">
        <v>3</v>
      </c>
      <c r="E62">
        <v>3</v>
      </c>
      <c r="F62">
        <v>3</v>
      </c>
      <c r="G62">
        <v>2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92</v>
      </c>
    </row>
    <row r="66" spans="2:13">
      <c r="B66" s="1" t="s">
        <v>13</v>
      </c>
      <c r="D66" s="3" t="s">
        <v>2</v>
      </c>
      <c r="E66" s="3" t="s">
        <v>3</v>
      </c>
      <c r="F66" s="3" t="s">
        <v>4</v>
      </c>
      <c r="G66" s="3" t="s">
        <v>5</v>
      </c>
      <c r="H66" s="3" t="s">
        <v>6</v>
      </c>
      <c r="I66" s="3" t="s">
        <v>7</v>
      </c>
      <c r="J66" s="3" t="s">
        <v>8</v>
      </c>
      <c r="K66" s="3" t="s">
        <v>9</v>
      </c>
      <c r="L66" s="3" t="s">
        <v>10</v>
      </c>
      <c r="M66" s="3" t="s">
        <v>11</v>
      </c>
    </row>
    <row r="67" spans="2:13">
      <c r="B67" s="1" t="s">
        <v>14</v>
      </c>
      <c r="C67" s="2"/>
      <c r="D67" s="1">
        <v>3</v>
      </c>
      <c r="E67" s="1">
        <v>3</v>
      </c>
      <c r="F67" s="1" t="s">
        <v>15</v>
      </c>
      <c r="G67" s="1" t="s">
        <v>15</v>
      </c>
      <c r="H67" s="1" t="s">
        <v>15</v>
      </c>
      <c r="I67" s="1" t="s">
        <v>15</v>
      </c>
      <c r="J67" s="1" t="s">
        <v>15</v>
      </c>
      <c r="K67" s="1" t="s">
        <v>15</v>
      </c>
      <c r="L67" s="1" t="s">
        <v>15</v>
      </c>
      <c r="M67" s="1" t="s">
        <v>15</v>
      </c>
    </row>
    <row r="68" spans="2:13">
      <c r="B68" s="1" t="s">
        <v>16</v>
      </c>
      <c r="C68" s="2"/>
      <c r="D68" s="1">
        <f>AVERAGE(Table2[Clarity of report])</f>
        <v>3</v>
      </c>
      <c r="E68" s="1">
        <f>AVERAGE(Table2[Report Formatting_figures/tables/referencing/significant figures])</f>
        <v>3</v>
      </c>
      <c r="F68" s="1">
        <f>AVERAGE(Table2[Executive Summary])</f>
        <v>2.5737704918032787</v>
      </c>
      <c r="G68" s="1">
        <f>AVERAGE(Table2[Introduction/market analysis])</f>
        <v>2.5901639344262297</v>
      </c>
      <c r="H68" s="1">
        <f>AVERAGE(Table2[PFD/Equipment sizing])</f>
        <v>3</v>
      </c>
      <c r="I68" s="1">
        <f>AVERAGE(Table2[Material balance])</f>
        <v>3</v>
      </c>
      <c r="J68" s="1">
        <f>AVERAGE(Table2[Safety and Environmental hazards and Process Safety Analysis (HAZOP)])</f>
        <v>3</v>
      </c>
      <c r="K68" s="1">
        <f>AVERAGE(Table2[Process Controls])</f>
        <v>3</v>
      </c>
      <c r="L68" s="1">
        <f>AVERAGE(Table2[Economic Analysis])</f>
        <v>3</v>
      </c>
      <c r="M68" s="1">
        <f>AVERAGE(Table2[Sensitivity Analysis and Recommendation])</f>
        <v>2.6885245901639343</v>
      </c>
    </row>
    <row r="69" spans="2:13">
      <c r="B69" s="1" t="s">
        <v>17</v>
      </c>
      <c r="C69" s="2"/>
      <c r="D69" s="1">
        <f>STDEV(Table2[Clarity of report])</f>
        <v>0</v>
      </c>
      <c r="E69" s="1">
        <f>STDEV(Table2[Report Formatting_figures/tables/referencing/significant figures])</f>
        <v>0</v>
      </c>
      <c r="F69" s="1">
        <f>STDEV(Table2[Executive Summary])</f>
        <v>0.82581306184556935</v>
      </c>
      <c r="G69" s="1">
        <f>STDEV(Table2[Introduction/market analysis])</f>
        <v>0.71593875856174249</v>
      </c>
      <c r="H69" s="1">
        <f>STDEV(Table2[PFD/Equipment sizing])</f>
        <v>0</v>
      </c>
      <c r="I69" s="1">
        <f>STDEV(Table2[Material balance])</f>
        <v>0</v>
      </c>
      <c r="J69" s="1">
        <f>STDEV(Table2[Safety and Environmental hazards and Process Safety Analysis (HAZOP)])</f>
        <v>0</v>
      </c>
      <c r="K69" s="1">
        <f>STDEV(Table2[Process Controls])</f>
        <v>0</v>
      </c>
      <c r="L69" s="1">
        <f>STDEV(Table2[Economic Analysis])</f>
        <v>0</v>
      </c>
      <c r="M69" s="1">
        <f>STDEV(Table2[Sensitivity Analysis and Recommendation])</f>
        <v>0.62024144778619283</v>
      </c>
    </row>
    <row r="71" spans="2:13">
      <c r="B71" s="1" t="s">
        <v>18</v>
      </c>
      <c r="C71" s="2"/>
      <c r="D71" s="1">
        <f>AVERAGE(D68:M68)</f>
        <v>2.8852459016393444</v>
      </c>
    </row>
    <row r="72" spans="2:13">
      <c r="B72" s="1" t="s">
        <v>19</v>
      </c>
      <c r="C72" s="2"/>
      <c r="D72" s="1">
        <f>AVERAGE(F68:M68)</f>
        <v>2.8565573770491803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1772-913F-1641-9017-E493C47227DD}">
  <dimension ref="B1:N72"/>
  <sheetViews>
    <sheetView topLeftCell="A55" workbookViewId="0">
      <selection activeCell="F81" sqref="F81"/>
    </sheetView>
  </sheetViews>
  <sheetFormatPr baseColWidth="10" defaultRowHeight="16"/>
  <cols>
    <col min="2" max="2" width="15" customWidth="1"/>
    <col min="3" max="3" width="6" customWidth="1"/>
    <col min="4" max="4" width="9.33203125" customWidth="1"/>
    <col min="5" max="14" width="10.5" customWidth="1"/>
  </cols>
  <sheetData>
    <row r="1" spans="2:14">
      <c r="B1" t="s">
        <v>0</v>
      </c>
      <c r="C1" t="s">
        <v>1</v>
      </c>
      <c r="D1" t="s">
        <v>2</v>
      </c>
      <c r="E1" t="s">
        <v>3</v>
      </c>
      <c r="F1" t="s">
        <v>27</v>
      </c>
      <c r="G1" t="s">
        <v>28</v>
      </c>
      <c r="H1" t="s">
        <v>29</v>
      </c>
      <c r="I1" t="s">
        <v>25</v>
      </c>
      <c r="J1" t="s">
        <v>30</v>
      </c>
      <c r="K1" t="s">
        <v>9</v>
      </c>
      <c r="L1" t="s">
        <v>10</v>
      </c>
      <c r="M1" t="s">
        <v>11</v>
      </c>
      <c r="N1" t="s">
        <v>12</v>
      </c>
    </row>
    <row r="2" spans="2:14">
      <c r="B2">
        <v>2</v>
      </c>
      <c r="C2">
        <v>1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2</v>
      </c>
      <c r="N2">
        <v>94.4</v>
      </c>
    </row>
    <row r="3" spans="2:14">
      <c r="B3">
        <v>2</v>
      </c>
      <c r="C3">
        <v>2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2</v>
      </c>
      <c r="N3">
        <v>94.4</v>
      </c>
    </row>
    <row r="4" spans="2:14">
      <c r="B4">
        <v>2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2</v>
      </c>
      <c r="N4">
        <v>94.4</v>
      </c>
    </row>
    <row r="5" spans="2:14">
      <c r="B5">
        <v>2</v>
      </c>
      <c r="C5">
        <v>4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2</v>
      </c>
      <c r="N5">
        <v>94.4</v>
      </c>
    </row>
    <row r="6" spans="2:14">
      <c r="B6">
        <v>10</v>
      </c>
      <c r="C6">
        <v>1</v>
      </c>
      <c r="D6">
        <v>3</v>
      </c>
      <c r="E6">
        <v>3</v>
      </c>
      <c r="F6">
        <v>2</v>
      </c>
      <c r="G6">
        <v>2</v>
      </c>
      <c r="H6">
        <v>3</v>
      </c>
      <c r="I6">
        <v>3</v>
      </c>
      <c r="J6">
        <v>3</v>
      </c>
      <c r="K6">
        <v>3</v>
      </c>
      <c r="L6">
        <v>1</v>
      </c>
      <c r="M6">
        <v>1</v>
      </c>
      <c r="N6">
        <v>78.599999999999994</v>
      </c>
    </row>
    <row r="7" spans="2:14">
      <c r="B7">
        <v>10</v>
      </c>
      <c r="C7">
        <v>2</v>
      </c>
      <c r="D7">
        <v>3</v>
      </c>
      <c r="E7">
        <v>3</v>
      </c>
      <c r="F7">
        <v>2</v>
      </c>
      <c r="G7">
        <v>2</v>
      </c>
      <c r="H7">
        <v>3</v>
      </c>
      <c r="I7">
        <v>3</v>
      </c>
      <c r="J7">
        <v>3</v>
      </c>
      <c r="K7">
        <v>3</v>
      </c>
      <c r="L7">
        <v>1</v>
      </c>
      <c r="M7">
        <v>1</v>
      </c>
      <c r="N7">
        <v>78.599999999999994</v>
      </c>
    </row>
    <row r="8" spans="2:14">
      <c r="B8">
        <v>10</v>
      </c>
      <c r="C8">
        <v>3</v>
      </c>
      <c r="D8">
        <v>3</v>
      </c>
      <c r="E8">
        <v>3</v>
      </c>
      <c r="F8">
        <v>2</v>
      </c>
      <c r="G8">
        <v>2</v>
      </c>
      <c r="H8">
        <v>3</v>
      </c>
      <c r="I8">
        <v>3</v>
      </c>
      <c r="J8">
        <v>3</v>
      </c>
      <c r="K8">
        <v>3</v>
      </c>
      <c r="L8">
        <v>1</v>
      </c>
      <c r="M8">
        <v>1</v>
      </c>
      <c r="N8">
        <v>78.599999999999994</v>
      </c>
    </row>
    <row r="9" spans="2:14">
      <c r="B9">
        <v>10</v>
      </c>
      <c r="C9">
        <v>4</v>
      </c>
      <c r="D9">
        <v>3</v>
      </c>
      <c r="E9">
        <v>3</v>
      </c>
      <c r="F9">
        <v>2</v>
      </c>
      <c r="G9">
        <v>2</v>
      </c>
      <c r="H9">
        <v>3</v>
      </c>
      <c r="I9">
        <v>3</v>
      </c>
      <c r="J9">
        <v>3</v>
      </c>
      <c r="K9">
        <v>3</v>
      </c>
      <c r="L9">
        <v>1</v>
      </c>
      <c r="M9">
        <v>1</v>
      </c>
      <c r="N9">
        <v>78.599999999999994</v>
      </c>
    </row>
    <row r="10" spans="2:14">
      <c r="B10">
        <v>3</v>
      </c>
      <c r="C10">
        <v>1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2</v>
      </c>
      <c r="K10">
        <v>2</v>
      </c>
      <c r="L10">
        <v>2</v>
      </c>
      <c r="M10">
        <v>1</v>
      </c>
      <c r="N10">
        <v>74.8</v>
      </c>
    </row>
    <row r="11" spans="2:14">
      <c r="B11">
        <v>3</v>
      </c>
      <c r="C11">
        <v>2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2</v>
      </c>
      <c r="K11">
        <v>2</v>
      </c>
      <c r="L11">
        <v>2</v>
      </c>
      <c r="M11">
        <v>1</v>
      </c>
      <c r="N11">
        <v>74.8</v>
      </c>
    </row>
    <row r="12" spans="2:14"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2</v>
      </c>
      <c r="K12">
        <v>2</v>
      </c>
      <c r="L12">
        <v>2</v>
      </c>
      <c r="M12">
        <v>1</v>
      </c>
      <c r="N12">
        <v>74.8</v>
      </c>
    </row>
    <row r="13" spans="2:14">
      <c r="B13">
        <v>3</v>
      </c>
      <c r="C13">
        <v>4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2</v>
      </c>
      <c r="K13">
        <v>2</v>
      </c>
      <c r="L13">
        <v>2</v>
      </c>
      <c r="M13">
        <v>1</v>
      </c>
      <c r="N13">
        <v>74.8</v>
      </c>
    </row>
    <row r="14" spans="2:14">
      <c r="B14">
        <v>14</v>
      </c>
      <c r="C14">
        <v>1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2</v>
      </c>
      <c r="N14">
        <v>94.4</v>
      </c>
    </row>
    <row r="15" spans="2:14">
      <c r="B15">
        <v>14</v>
      </c>
      <c r="C15">
        <v>2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2</v>
      </c>
      <c r="N15">
        <v>94.4</v>
      </c>
    </row>
    <row r="16" spans="2:14">
      <c r="B16">
        <v>14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2</v>
      </c>
      <c r="N16">
        <v>94.4</v>
      </c>
    </row>
    <row r="17" spans="2:14">
      <c r="B17">
        <v>14</v>
      </c>
      <c r="C17">
        <v>4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2</v>
      </c>
      <c r="N17">
        <v>94.4</v>
      </c>
    </row>
    <row r="18" spans="2:14">
      <c r="B18">
        <v>14</v>
      </c>
      <c r="C18">
        <v>5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2</v>
      </c>
      <c r="N18">
        <v>94.4</v>
      </c>
    </row>
    <row r="19" spans="2:14">
      <c r="B19">
        <v>5</v>
      </c>
      <c r="C19">
        <v>1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98.4</v>
      </c>
    </row>
    <row r="20" spans="2:14">
      <c r="B20">
        <v>5</v>
      </c>
      <c r="C20">
        <v>2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98.4</v>
      </c>
    </row>
    <row r="21" spans="2:14">
      <c r="B21">
        <v>5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98.4</v>
      </c>
    </row>
    <row r="22" spans="2:14">
      <c r="B22">
        <v>5</v>
      </c>
      <c r="C22">
        <v>4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98.4</v>
      </c>
    </row>
    <row r="23" spans="2:14">
      <c r="B23">
        <v>11</v>
      </c>
      <c r="C23">
        <v>1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94.4</v>
      </c>
    </row>
    <row r="24" spans="2:14">
      <c r="B24">
        <v>11</v>
      </c>
      <c r="C24">
        <v>2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94.4</v>
      </c>
    </row>
    <row r="25" spans="2:14">
      <c r="B25">
        <v>11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94.4</v>
      </c>
    </row>
    <row r="26" spans="2:14">
      <c r="B26">
        <v>11</v>
      </c>
      <c r="C26">
        <v>4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94.4</v>
      </c>
    </row>
    <row r="27" spans="2:14">
      <c r="B27">
        <v>4</v>
      </c>
      <c r="C27">
        <v>1</v>
      </c>
      <c r="D27">
        <v>3</v>
      </c>
      <c r="E27">
        <v>3</v>
      </c>
      <c r="F27">
        <v>3</v>
      </c>
      <c r="G27">
        <v>3</v>
      </c>
      <c r="H27">
        <v>3</v>
      </c>
      <c r="I27">
        <v>2</v>
      </c>
      <c r="J27">
        <v>3</v>
      </c>
      <c r="K27">
        <v>3</v>
      </c>
      <c r="L27">
        <v>3</v>
      </c>
      <c r="M27">
        <v>3</v>
      </c>
      <c r="N27">
        <v>92</v>
      </c>
    </row>
    <row r="28" spans="2:14">
      <c r="B28">
        <v>4</v>
      </c>
      <c r="C28">
        <v>2</v>
      </c>
      <c r="D28">
        <v>3</v>
      </c>
      <c r="E28">
        <v>3</v>
      </c>
      <c r="F28">
        <v>3</v>
      </c>
      <c r="G28">
        <v>3</v>
      </c>
      <c r="H28">
        <v>3</v>
      </c>
      <c r="I28">
        <v>2</v>
      </c>
      <c r="J28">
        <v>3</v>
      </c>
      <c r="K28">
        <v>3</v>
      </c>
      <c r="L28">
        <v>3</v>
      </c>
      <c r="M28">
        <v>3</v>
      </c>
      <c r="N28">
        <v>92</v>
      </c>
    </row>
    <row r="29" spans="2:14">
      <c r="B29">
        <v>4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2</v>
      </c>
      <c r="J29">
        <v>3</v>
      </c>
      <c r="K29">
        <v>3</v>
      </c>
      <c r="L29">
        <v>3</v>
      </c>
      <c r="M29">
        <v>3</v>
      </c>
      <c r="N29">
        <v>92</v>
      </c>
    </row>
    <row r="30" spans="2:14">
      <c r="B30">
        <v>4</v>
      </c>
      <c r="C30">
        <v>4</v>
      </c>
      <c r="D30">
        <v>3</v>
      </c>
      <c r="E30">
        <v>3</v>
      </c>
      <c r="F30">
        <v>3</v>
      </c>
      <c r="G30">
        <v>3</v>
      </c>
      <c r="H30">
        <v>3</v>
      </c>
      <c r="I30">
        <v>2</v>
      </c>
      <c r="J30">
        <v>3</v>
      </c>
      <c r="K30">
        <v>3</v>
      </c>
      <c r="L30">
        <v>3</v>
      </c>
      <c r="M30">
        <v>3</v>
      </c>
      <c r="N30">
        <v>92</v>
      </c>
    </row>
    <row r="31" spans="2:14">
      <c r="B31">
        <v>8</v>
      </c>
      <c r="C31">
        <v>1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96.4</v>
      </c>
    </row>
    <row r="32" spans="2:14">
      <c r="B32">
        <v>8</v>
      </c>
      <c r="C32">
        <v>2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96.4</v>
      </c>
    </row>
    <row r="33" spans="2:14">
      <c r="B33">
        <v>8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96.4</v>
      </c>
    </row>
    <row r="34" spans="2:14">
      <c r="B34">
        <v>8</v>
      </c>
      <c r="C34">
        <v>4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96.4</v>
      </c>
    </row>
    <row r="35" spans="2:14">
      <c r="B35">
        <v>8</v>
      </c>
      <c r="C35">
        <v>5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96.4</v>
      </c>
    </row>
    <row r="36" spans="2:14">
      <c r="B36">
        <v>7</v>
      </c>
      <c r="C36">
        <v>1</v>
      </c>
      <c r="D36">
        <v>3</v>
      </c>
      <c r="E36">
        <v>3</v>
      </c>
      <c r="F36">
        <v>2</v>
      </c>
      <c r="G36">
        <v>3</v>
      </c>
      <c r="H36">
        <v>3</v>
      </c>
      <c r="I36">
        <v>3</v>
      </c>
      <c r="J36">
        <v>3</v>
      </c>
      <c r="K36">
        <v>3</v>
      </c>
      <c r="L36">
        <v>2</v>
      </c>
      <c r="M36">
        <v>1</v>
      </c>
      <c r="N36">
        <v>80.8</v>
      </c>
    </row>
    <row r="37" spans="2:14">
      <c r="B37">
        <v>7</v>
      </c>
      <c r="C37">
        <v>2</v>
      </c>
      <c r="D37">
        <v>3</v>
      </c>
      <c r="E37">
        <v>3</v>
      </c>
      <c r="F37">
        <v>2</v>
      </c>
      <c r="G37">
        <v>3</v>
      </c>
      <c r="H37">
        <v>3</v>
      </c>
      <c r="I37">
        <v>3</v>
      </c>
      <c r="J37">
        <v>3</v>
      </c>
      <c r="K37">
        <v>3</v>
      </c>
      <c r="L37">
        <v>2</v>
      </c>
      <c r="M37">
        <v>1</v>
      </c>
      <c r="N37">
        <v>80.8</v>
      </c>
    </row>
    <row r="38" spans="2:14">
      <c r="B38">
        <v>7</v>
      </c>
      <c r="C38">
        <v>3</v>
      </c>
      <c r="D38">
        <v>3</v>
      </c>
      <c r="E38">
        <v>3</v>
      </c>
      <c r="F38">
        <v>2</v>
      </c>
      <c r="G38">
        <v>3</v>
      </c>
      <c r="H38">
        <v>3</v>
      </c>
      <c r="I38">
        <v>3</v>
      </c>
      <c r="J38">
        <v>3</v>
      </c>
      <c r="K38">
        <v>3</v>
      </c>
      <c r="L38">
        <v>2</v>
      </c>
      <c r="M38">
        <v>1</v>
      </c>
      <c r="N38">
        <v>80.8</v>
      </c>
    </row>
    <row r="39" spans="2:14">
      <c r="B39">
        <v>7</v>
      </c>
      <c r="C39">
        <v>4</v>
      </c>
      <c r="D39">
        <v>3</v>
      </c>
      <c r="E39">
        <v>3</v>
      </c>
      <c r="F39">
        <v>2</v>
      </c>
      <c r="G39">
        <v>3</v>
      </c>
      <c r="H39">
        <v>3</v>
      </c>
      <c r="I39">
        <v>3</v>
      </c>
      <c r="J39">
        <v>3</v>
      </c>
      <c r="K39">
        <v>3</v>
      </c>
      <c r="L39">
        <v>2</v>
      </c>
      <c r="M39">
        <v>1</v>
      </c>
      <c r="N39">
        <v>80.8</v>
      </c>
    </row>
    <row r="40" spans="2:14">
      <c r="B40">
        <v>7</v>
      </c>
      <c r="C40">
        <v>5</v>
      </c>
      <c r="D40">
        <v>3</v>
      </c>
      <c r="E40">
        <v>3</v>
      </c>
      <c r="F40">
        <v>2</v>
      </c>
      <c r="G40">
        <v>3</v>
      </c>
      <c r="H40">
        <v>3</v>
      </c>
      <c r="I40">
        <v>3</v>
      </c>
      <c r="J40">
        <v>3</v>
      </c>
      <c r="K40">
        <v>3</v>
      </c>
      <c r="L40">
        <v>2</v>
      </c>
      <c r="M40">
        <v>1</v>
      </c>
      <c r="N40">
        <v>80.8</v>
      </c>
    </row>
    <row r="41" spans="2:14">
      <c r="B41">
        <v>1</v>
      </c>
      <c r="C41">
        <v>1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2</v>
      </c>
      <c r="N41">
        <v>91</v>
      </c>
    </row>
    <row r="42" spans="2:14">
      <c r="B42">
        <v>1</v>
      </c>
      <c r="C42">
        <v>2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2</v>
      </c>
      <c r="N42">
        <v>91</v>
      </c>
    </row>
    <row r="43" spans="2:14">
      <c r="B43">
        <v>1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2</v>
      </c>
      <c r="N43">
        <v>91</v>
      </c>
    </row>
    <row r="44" spans="2:14">
      <c r="B44">
        <v>1</v>
      </c>
      <c r="C44">
        <v>4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2</v>
      </c>
      <c r="N44">
        <v>91</v>
      </c>
    </row>
    <row r="45" spans="2:14">
      <c r="B45">
        <v>13</v>
      </c>
      <c r="C45">
        <v>1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98.4</v>
      </c>
    </row>
    <row r="46" spans="2:14">
      <c r="B46">
        <v>13</v>
      </c>
      <c r="C46">
        <v>2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98.4</v>
      </c>
    </row>
    <row r="47" spans="2:14">
      <c r="B47">
        <v>13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98.4</v>
      </c>
    </row>
    <row r="48" spans="2:14">
      <c r="B48">
        <v>13</v>
      </c>
      <c r="C48">
        <v>4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98.4</v>
      </c>
    </row>
    <row r="49" spans="2:14">
      <c r="B49">
        <v>13</v>
      </c>
      <c r="C49">
        <v>5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98.4</v>
      </c>
    </row>
    <row r="50" spans="2:14">
      <c r="B50">
        <v>9</v>
      </c>
      <c r="C50">
        <v>1</v>
      </c>
      <c r="D50">
        <v>3</v>
      </c>
      <c r="E50">
        <v>3</v>
      </c>
      <c r="F50">
        <v>1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91.6</v>
      </c>
    </row>
    <row r="51" spans="2:14">
      <c r="B51">
        <v>9</v>
      </c>
      <c r="C51">
        <v>2</v>
      </c>
      <c r="D51">
        <v>3</v>
      </c>
      <c r="E51">
        <v>3</v>
      </c>
      <c r="F51">
        <v>1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91.6</v>
      </c>
    </row>
    <row r="52" spans="2:14">
      <c r="B52">
        <v>9</v>
      </c>
      <c r="C52">
        <v>3</v>
      </c>
      <c r="D52">
        <v>3</v>
      </c>
      <c r="E52">
        <v>3</v>
      </c>
      <c r="F52">
        <v>1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91.6</v>
      </c>
    </row>
    <row r="53" spans="2:14">
      <c r="B53">
        <v>9</v>
      </c>
      <c r="C53">
        <v>4</v>
      </c>
      <c r="D53">
        <v>3</v>
      </c>
      <c r="E53">
        <v>3</v>
      </c>
      <c r="F53">
        <v>1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91.6</v>
      </c>
    </row>
    <row r="54" spans="2:14">
      <c r="B54">
        <v>12</v>
      </c>
      <c r="C54">
        <v>1</v>
      </c>
      <c r="D54">
        <v>3</v>
      </c>
      <c r="E54">
        <v>3</v>
      </c>
      <c r="F54">
        <v>1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91.2</v>
      </c>
    </row>
    <row r="55" spans="2:14">
      <c r="B55">
        <v>12</v>
      </c>
      <c r="C55">
        <v>2</v>
      </c>
      <c r="D55">
        <v>3</v>
      </c>
      <c r="E55">
        <v>3</v>
      </c>
      <c r="F55">
        <v>1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91.2</v>
      </c>
    </row>
    <row r="56" spans="2:14">
      <c r="B56">
        <v>12</v>
      </c>
      <c r="C56">
        <v>3</v>
      </c>
      <c r="D56">
        <v>3</v>
      </c>
      <c r="E56">
        <v>3</v>
      </c>
      <c r="F56">
        <v>1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  <c r="N56">
        <v>91.2</v>
      </c>
    </row>
    <row r="57" spans="2:14">
      <c r="B57">
        <v>12</v>
      </c>
      <c r="C57">
        <v>4</v>
      </c>
      <c r="D57">
        <v>3</v>
      </c>
      <c r="E57">
        <v>3</v>
      </c>
      <c r="F57">
        <v>1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91.2</v>
      </c>
    </row>
    <row r="58" spans="2:14">
      <c r="B58">
        <v>12</v>
      </c>
      <c r="C58">
        <v>5</v>
      </c>
      <c r="D58">
        <v>3</v>
      </c>
      <c r="E58">
        <v>3</v>
      </c>
      <c r="F58">
        <v>1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91.2</v>
      </c>
    </row>
    <row r="59" spans="2:14">
      <c r="B59">
        <v>6</v>
      </c>
      <c r="C59">
        <v>1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1</v>
      </c>
      <c r="K59">
        <v>3</v>
      </c>
      <c r="L59">
        <v>3</v>
      </c>
      <c r="M59">
        <v>3</v>
      </c>
      <c r="N59">
        <v>92</v>
      </c>
    </row>
    <row r="60" spans="2:14">
      <c r="B60">
        <v>6</v>
      </c>
      <c r="C60">
        <v>2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1</v>
      </c>
      <c r="K60">
        <v>3</v>
      </c>
      <c r="L60">
        <v>3</v>
      </c>
      <c r="M60">
        <v>3</v>
      </c>
      <c r="N60">
        <v>92</v>
      </c>
    </row>
    <row r="61" spans="2:14">
      <c r="B61">
        <v>6</v>
      </c>
      <c r="C61">
        <v>3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1</v>
      </c>
      <c r="K61">
        <v>3</v>
      </c>
      <c r="L61">
        <v>3</v>
      </c>
      <c r="M61">
        <v>3</v>
      </c>
      <c r="N61">
        <v>92</v>
      </c>
    </row>
    <row r="62" spans="2:14">
      <c r="B62">
        <v>6</v>
      </c>
      <c r="C62">
        <v>4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1</v>
      </c>
      <c r="K62">
        <v>3</v>
      </c>
      <c r="L62">
        <v>3</v>
      </c>
      <c r="M62">
        <v>3</v>
      </c>
      <c r="N62">
        <v>92</v>
      </c>
    </row>
    <row r="66" spans="2:13">
      <c r="B66" s="1" t="s">
        <v>13</v>
      </c>
      <c r="D66" s="3" t="s">
        <v>2</v>
      </c>
      <c r="E66" s="3" t="s">
        <v>3</v>
      </c>
      <c r="F66" s="3" t="s">
        <v>27</v>
      </c>
      <c r="G66" s="3" t="s">
        <v>28</v>
      </c>
      <c r="H66" s="3" t="s">
        <v>29</v>
      </c>
      <c r="I66" s="3" t="s">
        <v>25</v>
      </c>
      <c r="J66" s="3" t="s">
        <v>30</v>
      </c>
      <c r="K66" s="3" t="s">
        <v>9</v>
      </c>
      <c r="L66" s="3" t="s">
        <v>10</v>
      </c>
      <c r="M66" s="3" t="s">
        <v>11</v>
      </c>
    </row>
    <row r="67" spans="2:13">
      <c r="B67" s="1" t="s">
        <v>14</v>
      </c>
      <c r="C67" s="2"/>
      <c r="D67" s="1">
        <v>3</v>
      </c>
      <c r="E67" s="1">
        <v>3</v>
      </c>
      <c r="F67" s="1">
        <v>3</v>
      </c>
      <c r="G67" s="1">
        <v>3</v>
      </c>
      <c r="H67" s="1">
        <v>3</v>
      </c>
      <c r="I67" s="1" t="s">
        <v>15</v>
      </c>
      <c r="J67" s="1" t="s">
        <v>15</v>
      </c>
      <c r="K67" s="1" t="s">
        <v>15</v>
      </c>
      <c r="L67" s="1" t="s">
        <v>15</v>
      </c>
      <c r="M67" s="1" t="s">
        <v>15</v>
      </c>
    </row>
    <row r="68" spans="2:13">
      <c r="B68" s="1" t="s">
        <v>16</v>
      </c>
      <c r="C68" s="2"/>
      <c r="D68" s="1">
        <f>AVERAGE(Table24[Clarity of report])</f>
        <v>3</v>
      </c>
      <c r="E68" s="1">
        <f>AVERAGE(Table24[Report Formatting_figures/tables/referencing/significant figures])</f>
        <v>3</v>
      </c>
      <c r="F68" s="1">
        <f>AVERAGE(Table24[Number of Significant Figures/Consistent Units])</f>
        <v>2.557377049180328</v>
      </c>
      <c r="G68" s="1">
        <f>AVERAGE(Table24[Clarity/Relevance/Heading/Numbering of Figures/Tables ])</f>
        <v>2.9344262295081966</v>
      </c>
      <c r="H68" s="1">
        <f>AVERAGE(Table24[[Referencing ]])</f>
        <v>3</v>
      </c>
      <c r="I68" s="1">
        <f>AVERAGE(Table24[Safety and Environmental Hazards])</f>
        <v>2.9344262295081966</v>
      </c>
      <c r="J68" s="1">
        <f>AVERAGE(Table24[Process Safety Analysis (HAZOP)])</f>
        <v>2.8032786885245899</v>
      </c>
      <c r="K68" s="1">
        <f>AVERAGE(Table24[Process Controls])</f>
        <v>2.9344262295081966</v>
      </c>
      <c r="L68" s="1">
        <f>AVERAGE(Table24[Economic Analysis])</f>
        <v>2.721311475409836</v>
      </c>
      <c r="M68" s="1">
        <f>AVERAGE(Table24[Sensitivity Analysis and Recommendation])</f>
        <v>2.360655737704918</v>
      </c>
    </row>
    <row r="69" spans="2:13">
      <c r="B69" s="1" t="s">
        <v>17</v>
      </c>
      <c r="C69" s="2"/>
      <c r="D69" s="1">
        <f>STDEV(Table24[Clarity of report])</f>
        <v>0</v>
      </c>
      <c r="E69" s="1">
        <f>STDEV(Table24[Report Formatting_figures/tables/referencing/significant figures])</f>
        <v>0</v>
      </c>
      <c r="F69" s="1">
        <f>STDEV(Table24[Number of Significant Figures/Consistent Units])</f>
        <v>0.74217226580568707</v>
      </c>
      <c r="G69" s="1">
        <f>STDEV(Table24[Clarity/Relevance/Heading/Numbering of Figures/Tables ])</f>
        <v>0.24958982745138725</v>
      </c>
      <c r="H69" s="1">
        <f>STDEV(Table24[[Referencing ]])</f>
        <v>0</v>
      </c>
      <c r="I69" s="1">
        <f>STDEV(Table24[Safety and Environmental Hazards])</f>
        <v>0.24958982745138714</v>
      </c>
      <c r="J69" s="1">
        <f>STDEV(Table24[Process Safety Analysis (HAZOP)])</f>
        <v>0.54220759035470112</v>
      </c>
      <c r="K69" s="1">
        <f>STDEV(Table24[Process Controls])</f>
        <v>0.24958982745138722</v>
      </c>
      <c r="L69" s="1">
        <f>STDEV(Table24[Economic Analysis])</f>
        <v>0.58112384053038757</v>
      </c>
      <c r="M69" s="1">
        <f>STDEV(Table24[Sensitivity Analysis and Recommendation])</f>
        <v>0.8171655663582077</v>
      </c>
    </row>
    <row r="71" spans="2:13">
      <c r="B71" s="1" t="s">
        <v>18</v>
      </c>
      <c r="C71" s="2"/>
      <c r="D71" s="1">
        <f>AVERAGE(D68:M68)</f>
        <v>2.8245901639344262</v>
      </c>
    </row>
    <row r="72" spans="2:13">
      <c r="B72" s="1" t="s">
        <v>19</v>
      </c>
      <c r="C72" s="2"/>
      <c r="D72" s="1">
        <f>AVERAGE(I68:M68)</f>
        <v>2.750819672131148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8809-A1F3-494A-AE70-7A83C8B2AC88}">
  <dimension ref="C1:O71"/>
  <sheetViews>
    <sheetView topLeftCell="A44" workbookViewId="0">
      <selection activeCell="K79" sqref="K79"/>
    </sheetView>
  </sheetViews>
  <sheetFormatPr baseColWidth="10" defaultRowHeight="16"/>
  <cols>
    <col min="3" max="3" width="11.5" customWidth="1"/>
    <col min="4" max="4" width="12.1640625" customWidth="1"/>
    <col min="5" max="15" width="11.33203125" customWidth="1"/>
  </cols>
  <sheetData>
    <row r="1" spans="3:15">
      <c r="C1" t="s">
        <v>0</v>
      </c>
      <c r="D1" t="s">
        <v>1</v>
      </c>
      <c r="E1" t="s">
        <v>20</v>
      </c>
      <c r="F1" t="s">
        <v>21</v>
      </c>
      <c r="G1" t="s">
        <v>22</v>
      </c>
      <c r="H1" t="s">
        <v>23</v>
      </c>
      <c r="I1" t="s">
        <v>5</v>
      </c>
      <c r="J1" t="s">
        <v>24</v>
      </c>
      <c r="K1" t="s">
        <v>25</v>
      </c>
      <c r="L1" t="s">
        <v>9</v>
      </c>
      <c r="M1" t="s">
        <v>10</v>
      </c>
      <c r="N1" t="s">
        <v>11</v>
      </c>
      <c r="O1" t="s">
        <v>12</v>
      </c>
    </row>
    <row r="2" spans="3:15">
      <c r="C2">
        <v>2</v>
      </c>
      <c r="D2">
        <v>1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94</v>
      </c>
    </row>
    <row r="3" spans="3:15">
      <c r="C3">
        <v>2</v>
      </c>
      <c r="D3">
        <v>2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94</v>
      </c>
    </row>
    <row r="4" spans="3:15">
      <c r="C4">
        <v>2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94</v>
      </c>
    </row>
    <row r="5" spans="3:15">
      <c r="C5">
        <v>2</v>
      </c>
      <c r="D5">
        <v>4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94</v>
      </c>
    </row>
    <row r="6" spans="3:15">
      <c r="C6">
        <v>10</v>
      </c>
      <c r="D6">
        <v>1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90</v>
      </c>
    </row>
    <row r="7" spans="3:15">
      <c r="C7">
        <v>10</v>
      </c>
      <c r="D7">
        <v>2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90</v>
      </c>
    </row>
    <row r="8" spans="3:15">
      <c r="C8">
        <v>10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90</v>
      </c>
    </row>
    <row r="9" spans="3:15">
      <c r="C9">
        <v>10</v>
      </c>
      <c r="D9">
        <v>4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90</v>
      </c>
    </row>
    <row r="10" spans="3:15">
      <c r="C10">
        <v>3</v>
      </c>
      <c r="D10">
        <v>1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90</v>
      </c>
    </row>
    <row r="11" spans="3:15">
      <c r="C11">
        <v>3</v>
      </c>
      <c r="D11">
        <v>2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90</v>
      </c>
    </row>
    <row r="12" spans="3:15"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90</v>
      </c>
    </row>
    <row r="13" spans="3:15">
      <c r="C13">
        <v>3</v>
      </c>
      <c r="D13">
        <v>4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90</v>
      </c>
    </row>
    <row r="14" spans="3:15">
      <c r="C14">
        <v>14</v>
      </c>
      <c r="D14">
        <v>1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96</v>
      </c>
    </row>
    <row r="15" spans="3:15">
      <c r="C15">
        <v>14</v>
      </c>
      <c r="D15">
        <v>2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96</v>
      </c>
    </row>
    <row r="16" spans="3:15">
      <c r="C16">
        <v>14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96</v>
      </c>
    </row>
    <row r="17" spans="3:15">
      <c r="C17">
        <v>14</v>
      </c>
      <c r="D17">
        <v>4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96</v>
      </c>
    </row>
    <row r="18" spans="3:15">
      <c r="C18">
        <v>14</v>
      </c>
      <c r="D18">
        <v>5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96</v>
      </c>
    </row>
    <row r="19" spans="3:15">
      <c r="C19">
        <v>5</v>
      </c>
      <c r="D19">
        <v>1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>
        <v>98</v>
      </c>
    </row>
    <row r="20" spans="3:15">
      <c r="C20">
        <v>5</v>
      </c>
      <c r="D20">
        <v>2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98</v>
      </c>
    </row>
    <row r="21" spans="3:15">
      <c r="C21">
        <v>5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98</v>
      </c>
    </row>
    <row r="22" spans="3:15">
      <c r="C22">
        <v>5</v>
      </c>
      <c r="D22">
        <v>4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98</v>
      </c>
    </row>
    <row r="23" spans="3:15">
      <c r="C23">
        <v>11</v>
      </c>
      <c r="D23">
        <v>1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98</v>
      </c>
    </row>
    <row r="24" spans="3:15">
      <c r="C24">
        <v>11</v>
      </c>
      <c r="D24">
        <v>2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98</v>
      </c>
    </row>
    <row r="25" spans="3:15">
      <c r="C25">
        <v>11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98</v>
      </c>
    </row>
    <row r="26" spans="3:15">
      <c r="C26">
        <v>11</v>
      </c>
      <c r="D26">
        <v>4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98</v>
      </c>
    </row>
    <row r="27" spans="3:15">
      <c r="C27">
        <v>4</v>
      </c>
      <c r="D27">
        <v>1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98</v>
      </c>
    </row>
    <row r="28" spans="3:15">
      <c r="C28">
        <v>4</v>
      </c>
      <c r="D28">
        <v>2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98</v>
      </c>
    </row>
    <row r="29" spans="3:15">
      <c r="C29">
        <v>4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98</v>
      </c>
    </row>
    <row r="30" spans="3:15">
      <c r="C30">
        <v>4</v>
      </c>
      <c r="D30">
        <v>4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98</v>
      </c>
    </row>
    <row r="31" spans="3:15">
      <c r="C31">
        <v>8</v>
      </c>
      <c r="D31">
        <v>1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98</v>
      </c>
    </row>
    <row r="32" spans="3:15">
      <c r="C32">
        <v>8</v>
      </c>
      <c r="D32">
        <v>2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98</v>
      </c>
    </row>
    <row r="33" spans="3:15">
      <c r="C33">
        <v>8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98</v>
      </c>
    </row>
    <row r="34" spans="3:15">
      <c r="C34">
        <v>8</v>
      </c>
      <c r="D34">
        <v>4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98</v>
      </c>
    </row>
    <row r="35" spans="3:15">
      <c r="C35">
        <v>8</v>
      </c>
      <c r="D35">
        <v>5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98</v>
      </c>
    </row>
    <row r="36" spans="3:15">
      <c r="C36">
        <v>7</v>
      </c>
      <c r="D36">
        <v>1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90</v>
      </c>
    </row>
    <row r="37" spans="3:15">
      <c r="C37">
        <v>7</v>
      </c>
      <c r="D37">
        <v>2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90</v>
      </c>
    </row>
    <row r="38" spans="3:15">
      <c r="C38">
        <v>7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90</v>
      </c>
    </row>
    <row r="39" spans="3:15">
      <c r="C39">
        <v>7</v>
      </c>
      <c r="D39">
        <v>4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90</v>
      </c>
    </row>
    <row r="40" spans="3:15">
      <c r="C40">
        <v>7</v>
      </c>
      <c r="D40">
        <v>5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90</v>
      </c>
    </row>
    <row r="41" spans="3:15">
      <c r="C41">
        <v>1</v>
      </c>
      <c r="D41">
        <v>1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98</v>
      </c>
    </row>
    <row r="42" spans="3:15">
      <c r="C42">
        <v>1</v>
      </c>
      <c r="D42">
        <v>2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98</v>
      </c>
    </row>
    <row r="43" spans="3:15">
      <c r="C43">
        <v>1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98</v>
      </c>
    </row>
    <row r="44" spans="3:15">
      <c r="C44">
        <v>1</v>
      </c>
      <c r="D44">
        <v>4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98</v>
      </c>
    </row>
    <row r="45" spans="3:15">
      <c r="C45">
        <v>13</v>
      </c>
      <c r="D45">
        <v>1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98</v>
      </c>
    </row>
    <row r="46" spans="3:15">
      <c r="C46">
        <v>13</v>
      </c>
      <c r="D46">
        <v>2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98</v>
      </c>
    </row>
    <row r="47" spans="3:15">
      <c r="C47">
        <v>13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98</v>
      </c>
    </row>
    <row r="48" spans="3:15">
      <c r="C48">
        <v>13</v>
      </c>
      <c r="D48">
        <v>4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98</v>
      </c>
    </row>
    <row r="49" spans="3:15">
      <c r="C49">
        <v>13</v>
      </c>
      <c r="D49">
        <v>5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98</v>
      </c>
    </row>
    <row r="50" spans="3:15">
      <c r="C50">
        <v>9</v>
      </c>
      <c r="D50">
        <v>1</v>
      </c>
      <c r="E50">
        <v>3</v>
      </c>
      <c r="F50">
        <v>3</v>
      </c>
      <c r="G50">
        <v>3</v>
      </c>
      <c r="H50">
        <v>3</v>
      </c>
      <c r="I50">
        <v>3</v>
      </c>
      <c r="J50">
        <v>2</v>
      </c>
      <c r="K50">
        <v>3</v>
      </c>
      <c r="L50">
        <v>3</v>
      </c>
      <c r="M50">
        <v>3</v>
      </c>
      <c r="N50">
        <v>3</v>
      </c>
      <c r="O50">
        <v>90</v>
      </c>
    </row>
    <row r="51" spans="3:15">
      <c r="C51">
        <v>9</v>
      </c>
      <c r="D51">
        <v>2</v>
      </c>
      <c r="E51">
        <v>3</v>
      </c>
      <c r="F51">
        <v>3</v>
      </c>
      <c r="G51">
        <v>3</v>
      </c>
      <c r="H51">
        <v>3</v>
      </c>
      <c r="I51">
        <v>3</v>
      </c>
      <c r="J51">
        <v>2</v>
      </c>
      <c r="K51">
        <v>3</v>
      </c>
      <c r="L51">
        <v>3</v>
      </c>
      <c r="M51">
        <v>3</v>
      </c>
      <c r="N51">
        <v>3</v>
      </c>
      <c r="O51">
        <v>90</v>
      </c>
    </row>
    <row r="52" spans="3:15">
      <c r="C52">
        <v>9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2</v>
      </c>
      <c r="K52">
        <v>3</v>
      </c>
      <c r="L52">
        <v>3</v>
      </c>
      <c r="M52">
        <v>3</v>
      </c>
      <c r="N52">
        <v>3</v>
      </c>
      <c r="O52">
        <v>90</v>
      </c>
    </row>
    <row r="53" spans="3:15">
      <c r="C53">
        <v>9</v>
      </c>
      <c r="D53">
        <v>4</v>
      </c>
      <c r="E53">
        <v>3</v>
      </c>
      <c r="F53">
        <v>3</v>
      </c>
      <c r="G53">
        <v>3</v>
      </c>
      <c r="H53">
        <v>3</v>
      </c>
      <c r="I53">
        <v>3</v>
      </c>
      <c r="J53">
        <v>2</v>
      </c>
      <c r="K53">
        <v>3</v>
      </c>
      <c r="L53">
        <v>3</v>
      </c>
      <c r="M53">
        <v>3</v>
      </c>
      <c r="N53">
        <v>3</v>
      </c>
      <c r="O53">
        <v>90</v>
      </c>
    </row>
    <row r="54" spans="3:15">
      <c r="C54">
        <v>12</v>
      </c>
      <c r="D54">
        <v>1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90</v>
      </c>
    </row>
    <row r="55" spans="3:15">
      <c r="C55">
        <v>12</v>
      </c>
      <c r="D55">
        <v>2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90</v>
      </c>
    </row>
    <row r="56" spans="3:15">
      <c r="C56">
        <v>12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  <c r="N56">
        <v>3</v>
      </c>
      <c r="O56">
        <v>90</v>
      </c>
    </row>
    <row r="57" spans="3:15">
      <c r="C57">
        <v>12</v>
      </c>
      <c r="D57">
        <v>4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90</v>
      </c>
    </row>
    <row r="58" spans="3:15">
      <c r="C58">
        <v>12</v>
      </c>
      <c r="D58">
        <v>5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90</v>
      </c>
    </row>
    <row r="59" spans="3:15">
      <c r="C59">
        <v>6</v>
      </c>
      <c r="D59">
        <v>1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96</v>
      </c>
    </row>
    <row r="60" spans="3:15">
      <c r="C60">
        <v>6</v>
      </c>
      <c r="D60">
        <v>2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96</v>
      </c>
    </row>
    <row r="61" spans="3:15">
      <c r="C61">
        <v>6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96</v>
      </c>
    </row>
    <row r="62" spans="3:15">
      <c r="C62">
        <v>6</v>
      </c>
      <c r="D62">
        <v>4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>
        <v>96</v>
      </c>
    </row>
    <row r="65" spans="3:14">
      <c r="C65" s="4" t="s">
        <v>13</v>
      </c>
      <c r="E65" s="5" t="s">
        <v>20</v>
      </c>
      <c r="F65" s="5" t="s">
        <v>21</v>
      </c>
      <c r="G65" s="5" t="s">
        <v>22</v>
      </c>
      <c r="H65" s="5" t="s">
        <v>23</v>
      </c>
      <c r="I65" s="5" t="s">
        <v>5</v>
      </c>
      <c r="J65" s="5" t="s">
        <v>24</v>
      </c>
      <c r="K65" s="5" t="s">
        <v>25</v>
      </c>
      <c r="L65" s="5" t="s">
        <v>9</v>
      </c>
      <c r="M65" s="5" t="s">
        <v>10</v>
      </c>
      <c r="N65" s="5" t="s">
        <v>11</v>
      </c>
    </row>
    <row r="66" spans="3:14">
      <c r="C66" s="4" t="s">
        <v>14</v>
      </c>
      <c r="E66" s="6">
        <v>3</v>
      </c>
      <c r="F66" s="6">
        <v>3</v>
      </c>
      <c r="G66" s="6">
        <v>3</v>
      </c>
      <c r="H66" s="6">
        <v>3</v>
      </c>
      <c r="I66" s="6" t="s">
        <v>15</v>
      </c>
      <c r="J66" s="6" t="s">
        <v>15</v>
      </c>
      <c r="K66" s="6" t="s">
        <v>15</v>
      </c>
      <c r="L66" s="6" t="s">
        <v>15</v>
      </c>
      <c r="M66" s="6" t="s">
        <v>15</v>
      </c>
      <c r="N66" s="6" t="s">
        <v>15</v>
      </c>
    </row>
    <row r="67" spans="3:14">
      <c r="C67" s="4" t="s">
        <v>16</v>
      </c>
      <c r="E67" s="7">
        <f>AVERAGE(Table3[Delivery_Organization])</f>
        <v>3</v>
      </c>
      <c r="F67" s="7">
        <f>AVERAGE(Table3[Delivery_Language/Enthusiasm/Eye contact])</f>
        <v>3</v>
      </c>
      <c r="G67" s="7">
        <f>AVERAGE(Table3[Delivery_Time/Equal distribution of work])</f>
        <v>3</v>
      </c>
      <c r="H67" s="7">
        <f>AVERAGE(Table3[Style_Clear graphs/figures/referencing/text])</f>
        <v>3</v>
      </c>
      <c r="I67" s="7">
        <f>AVERAGE(Table3[Introduction/market analysis])</f>
        <v>3</v>
      </c>
      <c r="J67" s="7">
        <f>AVERAGE(Table3[PFD/material balance/equipment sizing])</f>
        <v>2.9344262295081966</v>
      </c>
      <c r="K67" s="7">
        <f>AVERAGE(Table3[Safety and Environmental Hazards])</f>
        <v>3</v>
      </c>
      <c r="L67" s="7">
        <f>AVERAGE(Table3[Process Controls])</f>
        <v>3</v>
      </c>
      <c r="M67" s="7">
        <f>AVERAGE(Table3[Economic Analysis])</f>
        <v>3</v>
      </c>
      <c r="N67" s="7">
        <f>AVERAGE(Table3[Sensitivity Analysis and Recommendation])</f>
        <v>3</v>
      </c>
    </row>
    <row r="68" spans="3:14">
      <c r="C68" s="4" t="s">
        <v>17</v>
      </c>
      <c r="E68" s="6">
        <f>STDEV(Table3[Delivery_Organization])</f>
        <v>0</v>
      </c>
      <c r="F68" s="6">
        <f>STDEV(Table3[Delivery_Language/Enthusiasm/Eye contact])</f>
        <v>0</v>
      </c>
      <c r="G68" s="6">
        <f>STDEV(Table3[Delivery_Time/Equal distribution of work])</f>
        <v>0</v>
      </c>
      <c r="H68" s="6">
        <f>STDEV(Table3[Style_Clear graphs/figures/referencing/text])</f>
        <v>0</v>
      </c>
      <c r="I68" s="6">
        <f>STDEV(Table3[Introduction/market analysis])</f>
        <v>0</v>
      </c>
      <c r="J68" s="6">
        <f>STDEV(Table3[PFD/material balance/equipment sizing])</f>
        <v>0.24958982745138703</v>
      </c>
      <c r="K68" s="6">
        <f>STDEV(Table3[Safety and Environmental Hazards])</f>
        <v>0</v>
      </c>
      <c r="L68" s="6">
        <f>STDEV(Table3[Process Controls])</f>
        <v>0</v>
      </c>
      <c r="M68" s="6">
        <f>STDEV(Table3[Economic Analysis])</f>
        <v>0</v>
      </c>
      <c r="N68" s="6">
        <f>STDEV(Table3[Sensitivity Analysis and Recommendation])</f>
        <v>0</v>
      </c>
    </row>
    <row r="70" spans="3:14">
      <c r="C70" s="4" t="s">
        <v>26</v>
      </c>
      <c r="E70" s="4">
        <f>AVERAGE(E67:N67)</f>
        <v>2.9934426229508198</v>
      </c>
    </row>
    <row r="71" spans="3:14">
      <c r="C71" s="4" t="s">
        <v>19</v>
      </c>
      <c r="E71" s="4">
        <f>AVERAGE(I67:N67)</f>
        <v>2.9890710382513661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8653-0200-5F46-B199-016AD97FB970}">
  <dimension ref="C1:O71"/>
  <sheetViews>
    <sheetView tabSelected="1" topLeftCell="A49" workbookViewId="0">
      <selection activeCell="F75" sqref="F75"/>
    </sheetView>
  </sheetViews>
  <sheetFormatPr baseColWidth="10" defaultRowHeight="16"/>
  <cols>
    <col min="3" max="3" width="11.5" customWidth="1"/>
    <col min="4" max="4" width="12.1640625" customWidth="1"/>
    <col min="5" max="15" width="11.33203125" customWidth="1"/>
  </cols>
  <sheetData>
    <row r="1" spans="3:15">
      <c r="C1" t="s">
        <v>0</v>
      </c>
      <c r="D1" t="s">
        <v>1</v>
      </c>
      <c r="E1" t="s">
        <v>20</v>
      </c>
      <c r="F1" t="s">
        <v>21</v>
      </c>
      <c r="G1" t="s">
        <v>22</v>
      </c>
      <c r="H1" t="s">
        <v>23</v>
      </c>
      <c r="I1" t="s">
        <v>31</v>
      </c>
      <c r="J1" t="s">
        <v>25</v>
      </c>
      <c r="K1" t="s">
        <v>32</v>
      </c>
      <c r="L1" t="s">
        <v>9</v>
      </c>
      <c r="M1" t="s">
        <v>10</v>
      </c>
      <c r="N1" t="s">
        <v>11</v>
      </c>
      <c r="O1" t="s">
        <v>12</v>
      </c>
    </row>
    <row r="2" spans="3:15">
      <c r="C2">
        <v>2</v>
      </c>
      <c r="D2">
        <v>1</v>
      </c>
      <c r="E2">
        <v>3</v>
      </c>
      <c r="F2">
        <v>3</v>
      </c>
      <c r="G2">
        <v>1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2</v>
      </c>
      <c r="O2">
        <v>84</v>
      </c>
    </row>
    <row r="3" spans="3:15">
      <c r="C3">
        <v>2</v>
      </c>
      <c r="D3">
        <v>2</v>
      </c>
      <c r="E3">
        <v>3</v>
      </c>
      <c r="F3">
        <v>3</v>
      </c>
      <c r="G3">
        <v>1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2</v>
      </c>
      <c r="O3">
        <v>84</v>
      </c>
    </row>
    <row r="4" spans="3:15">
      <c r="C4">
        <v>2</v>
      </c>
      <c r="D4">
        <v>3</v>
      </c>
      <c r="E4">
        <v>3</v>
      </c>
      <c r="F4">
        <v>3</v>
      </c>
      <c r="G4">
        <v>1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2</v>
      </c>
      <c r="O4">
        <v>84</v>
      </c>
    </row>
    <row r="5" spans="3:15">
      <c r="C5">
        <v>2</v>
      </c>
      <c r="D5">
        <v>4</v>
      </c>
      <c r="E5">
        <v>3</v>
      </c>
      <c r="F5">
        <v>3</v>
      </c>
      <c r="G5">
        <v>1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2</v>
      </c>
      <c r="O5">
        <v>84</v>
      </c>
    </row>
    <row r="6" spans="3:15">
      <c r="C6">
        <v>10</v>
      </c>
      <c r="D6">
        <v>1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2</v>
      </c>
      <c r="L6">
        <v>3</v>
      </c>
      <c r="M6">
        <v>3</v>
      </c>
      <c r="N6">
        <v>3</v>
      </c>
      <c r="O6">
        <v>88</v>
      </c>
    </row>
    <row r="7" spans="3:15">
      <c r="C7">
        <v>10</v>
      </c>
      <c r="D7">
        <v>2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2</v>
      </c>
      <c r="L7">
        <v>3</v>
      </c>
      <c r="M7">
        <v>3</v>
      </c>
      <c r="N7">
        <v>3</v>
      </c>
      <c r="O7">
        <v>88</v>
      </c>
    </row>
    <row r="8" spans="3:15">
      <c r="C8">
        <v>10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2</v>
      </c>
      <c r="L8">
        <v>3</v>
      </c>
      <c r="M8">
        <v>3</v>
      </c>
      <c r="N8">
        <v>3</v>
      </c>
      <c r="O8">
        <v>88</v>
      </c>
    </row>
    <row r="9" spans="3:15">
      <c r="C9">
        <v>10</v>
      </c>
      <c r="D9">
        <v>4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2</v>
      </c>
      <c r="L9">
        <v>3</v>
      </c>
      <c r="M9">
        <v>3</v>
      </c>
      <c r="N9">
        <v>3</v>
      </c>
      <c r="O9">
        <v>88</v>
      </c>
    </row>
    <row r="10" spans="3:15">
      <c r="C10">
        <v>3</v>
      </c>
      <c r="D10">
        <v>1</v>
      </c>
      <c r="E10">
        <v>3</v>
      </c>
      <c r="F10">
        <v>3</v>
      </c>
      <c r="G10">
        <v>1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</v>
      </c>
      <c r="O10">
        <v>84</v>
      </c>
    </row>
    <row r="11" spans="3:15">
      <c r="C11">
        <v>3</v>
      </c>
      <c r="D11">
        <v>2</v>
      </c>
      <c r="E11">
        <v>3</v>
      </c>
      <c r="F11">
        <v>3</v>
      </c>
      <c r="G11">
        <v>1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</v>
      </c>
      <c r="O11">
        <v>84</v>
      </c>
    </row>
    <row r="12" spans="3:15">
      <c r="C12">
        <v>3</v>
      </c>
      <c r="D12">
        <v>3</v>
      </c>
      <c r="E12">
        <v>3</v>
      </c>
      <c r="F12">
        <v>3</v>
      </c>
      <c r="G12">
        <v>1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2</v>
      </c>
      <c r="O12">
        <v>84</v>
      </c>
    </row>
    <row r="13" spans="3:15">
      <c r="C13">
        <v>3</v>
      </c>
      <c r="D13">
        <v>4</v>
      </c>
      <c r="E13">
        <v>3</v>
      </c>
      <c r="F13">
        <v>3</v>
      </c>
      <c r="G13">
        <v>1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</v>
      </c>
      <c r="O13">
        <v>84</v>
      </c>
    </row>
    <row r="14" spans="3:15">
      <c r="C14">
        <v>14</v>
      </c>
      <c r="D14">
        <v>1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2</v>
      </c>
      <c r="O14">
        <v>90</v>
      </c>
    </row>
    <row r="15" spans="3:15">
      <c r="C15">
        <v>14</v>
      </c>
      <c r="D15">
        <v>2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</v>
      </c>
      <c r="O15">
        <v>90</v>
      </c>
    </row>
    <row r="16" spans="3:15">
      <c r="C16">
        <v>14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</v>
      </c>
      <c r="O16">
        <v>90</v>
      </c>
    </row>
    <row r="17" spans="3:15">
      <c r="C17">
        <v>14</v>
      </c>
      <c r="D17">
        <v>4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2</v>
      </c>
      <c r="O17">
        <v>90</v>
      </c>
    </row>
    <row r="18" spans="3:15">
      <c r="C18">
        <v>14</v>
      </c>
      <c r="D18">
        <v>5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2</v>
      </c>
      <c r="O18">
        <v>90</v>
      </c>
    </row>
    <row r="19" spans="3:15">
      <c r="C19">
        <v>5</v>
      </c>
      <c r="D19">
        <v>1</v>
      </c>
      <c r="E19">
        <v>3</v>
      </c>
      <c r="F19">
        <v>3</v>
      </c>
      <c r="G19">
        <v>3</v>
      </c>
      <c r="H19">
        <v>3</v>
      </c>
      <c r="I19">
        <v>1</v>
      </c>
      <c r="J19">
        <v>3</v>
      </c>
      <c r="K19">
        <v>3</v>
      </c>
      <c r="L19">
        <v>3</v>
      </c>
      <c r="M19">
        <v>3</v>
      </c>
      <c r="N19">
        <v>3</v>
      </c>
      <c r="O19">
        <v>92</v>
      </c>
    </row>
    <row r="20" spans="3:15">
      <c r="C20">
        <v>5</v>
      </c>
      <c r="D20">
        <v>2</v>
      </c>
      <c r="E20">
        <v>3</v>
      </c>
      <c r="F20">
        <v>3</v>
      </c>
      <c r="G20">
        <v>3</v>
      </c>
      <c r="H20">
        <v>3</v>
      </c>
      <c r="I20">
        <v>1</v>
      </c>
      <c r="J20">
        <v>3</v>
      </c>
      <c r="K20">
        <v>3</v>
      </c>
      <c r="L20">
        <v>3</v>
      </c>
      <c r="M20">
        <v>3</v>
      </c>
      <c r="N20">
        <v>3</v>
      </c>
      <c r="O20">
        <v>92</v>
      </c>
    </row>
    <row r="21" spans="3:15">
      <c r="C21">
        <v>5</v>
      </c>
      <c r="D21">
        <v>3</v>
      </c>
      <c r="E21">
        <v>3</v>
      </c>
      <c r="F21">
        <v>3</v>
      </c>
      <c r="G21">
        <v>3</v>
      </c>
      <c r="H21">
        <v>3</v>
      </c>
      <c r="I21">
        <v>1</v>
      </c>
      <c r="J21">
        <v>3</v>
      </c>
      <c r="K21">
        <v>3</v>
      </c>
      <c r="L21">
        <v>3</v>
      </c>
      <c r="M21">
        <v>3</v>
      </c>
      <c r="N21">
        <v>3</v>
      </c>
      <c r="O21">
        <v>92</v>
      </c>
    </row>
    <row r="22" spans="3:15">
      <c r="C22">
        <v>5</v>
      </c>
      <c r="D22">
        <v>4</v>
      </c>
      <c r="E22">
        <v>3</v>
      </c>
      <c r="F22">
        <v>3</v>
      </c>
      <c r="G22">
        <v>3</v>
      </c>
      <c r="H22">
        <v>3</v>
      </c>
      <c r="I22">
        <v>1</v>
      </c>
      <c r="J22">
        <v>3</v>
      </c>
      <c r="K22">
        <v>3</v>
      </c>
      <c r="L22">
        <v>3</v>
      </c>
      <c r="M22">
        <v>3</v>
      </c>
      <c r="N22">
        <v>3</v>
      </c>
      <c r="O22">
        <v>92</v>
      </c>
    </row>
    <row r="23" spans="3:15">
      <c r="C23">
        <v>11</v>
      </c>
      <c r="D23">
        <v>1</v>
      </c>
      <c r="E23">
        <v>3</v>
      </c>
      <c r="F23">
        <v>3</v>
      </c>
      <c r="G23">
        <v>2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2</v>
      </c>
      <c r="O23">
        <v>88</v>
      </c>
    </row>
    <row r="24" spans="3:15">
      <c r="C24">
        <v>11</v>
      </c>
      <c r="D24">
        <v>2</v>
      </c>
      <c r="E24">
        <v>3</v>
      </c>
      <c r="F24">
        <v>3</v>
      </c>
      <c r="G24">
        <v>2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2</v>
      </c>
      <c r="O24">
        <v>88</v>
      </c>
    </row>
    <row r="25" spans="3:15">
      <c r="C25">
        <v>11</v>
      </c>
      <c r="D25">
        <v>3</v>
      </c>
      <c r="E25">
        <v>3</v>
      </c>
      <c r="F25">
        <v>3</v>
      </c>
      <c r="G25">
        <v>2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2</v>
      </c>
      <c r="O25">
        <v>88</v>
      </c>
    </row>
    <row r="26" spans="3:15">
      <c r="C26">
        <v>11</v>
      </c>
      <c r="D26">
        <v>4</v>
      </c>
      <c r="E26">
        <v>3</v>
      </c>
      <c r="F26">
        <v>3</v>
      </c>
      <c r="G26">
        <v>2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2</v>
      </c>
      <c r="O26">
        <v>88</v>
      </c>
    </row>
    <row r="27" spans="3:15">
      <c r="C27">
        <v>4</v>
      </c>
      <c r="D27">
        <v>1</v>
      </c>
      <c r="E27">
        <v>3</v>
      </c>
      <c r="F27">
        <v>3</v>
      </c>
      <c r="G27">
        <v>3</v>
      </c>
      <c r="H27">
        <v>3</v>
      </c>
      <c r="I27">
        <v>2</v>
      </c>
      <c r="J27">
        <v>3</v>
      </c>
      <c r="K27">
        <v>3</v>
      </c>
      <c r="L27">
        <v>3</v>
      </c>
      <c r="M27">
        <v>3</v>
      </c>
      <c r="N27">
        <v>3</v>
      </c>
      <c r="O27">
        <v>90</v>
      </c>
    </row>
    <row r="28" spans="3:15">
      <c r="C28">
        <v>4</v>
      </c>
      <c r="D28">
        <v>2</v>
      </c>
      <c r="E28">
        <v>3</v>
      </c>
      <c r="F28">
        <v>3</v>
      </c>
      <c r="G28">
        <v>3</v>
      </c>
      <c r="H28">
        <v>3</v>
      </c>
      <c r="I28">
        <v>2</v>
      </c>
      <c r="J28">
        <v>3</v>
      </c>
      <c r="K28">
        <v>3</v>
      </c>
      <c r="L28">
        <v>3</v>
      </c>
      <c r="M28">
        <v>3</v>
      </c>
      <c r="N28">
        <v>3</v>
      </c>
      <c r="O28">
        <v>90</v>
      </c>
    </row>
    <row r="29" spans="3:15">
      <c r="C29">
        <v>4</v>
      </c>
      <c r="D29">
        <v>3</v>
      </c>
      <c r="E29">
        <v>3</v>
      </c>
      <c r="F29">
        <v>3</v>
      </c>
      <c r="G29">
        <v>3</v>
      </c>
      <c r="H29">
        <v>3</v>
      </c>
      <c r="I29">
        <v>2</v>
      </c>
      <c r="J29">
        <v>3</v>
      </c>
      <c r="K29">
        <v>3</v>
      </c>
      <c r="L29">
        <v>3</v>
      </c>
      <c r="M29">
        <v>3</v>
      </c>
      <c r="N29">
        <v>3</v>
      </c>
      <c r="O29">
        <v>90</v>
      </c>
    </row>
    <row r="30" spans="3:15">
      <c r="C30">
        <v>4</v>
      </c>
      <c r="D30">
        <v>4</v>
      </c>
      <c r="E30">
        <v>3</v>
      </c>
      <c r="F30">
        <v>3</v>
      </c>
      <c r="G30">
        <v>3</v>
      </c>
      <c r="H30">
        <v>3</v>
      </c>
      <c r="I30">
        <v>2</v>
      </c>
      <c r="J30">
        <v>3</v>
      </c>
      <c r="K30">
        <v>3</v>
      </c>
      <c r="L30">
        <v>3</v>
      </c>
      <c r="M30">
        <v>3</v>
      </c>
      <c r="N30">
        <v>3</v>
      </c>
      <c r="O30">
        <v>90</v>
      </c>
    </row>
    <row r="31" spans="3:15">
      <c r="C31">
        <v>8</v>
      </c>
      <c r="D31">
        <v>1</v>
      </c>
      <c r="E31">
        <v>3</v>
      </c>
      <c r="F31">
        <v>3</v>
      </c>
      <c r="G31">
        <v>2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2</v>
      </c>
      <c r="O31">
        <v>88</v>
      </c>
    </row>
    <row r="32" spans="3:15">
      <c r="C32">
        <v>8</v>
      </c>
      <c r="D32">
        <v>2</v>
      </c>
      <c r="E32">
        <v>3</v>
      </c>
      <c r="F32">
        <v>3</v>
      </c>
      <c r="G32">
        <v>2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2</v>
      </c>
      <c r="O32">
        <v>88</v>
      </c>
    </row>
    <row r="33" spans="3:15">
      <c r="C33">
        <v>8</v>
      </c>
      <c r="D33">
        <v>3</v>
      </c>
      <c r="E33">
        <v>3</v>
      </c>
      <c r="F33">
        <v>3</v>
      </c>
      <c r="G33">
        <v>2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2</v>
      </c>
      <c r="O33">
        <v>88</v>
      </c>
    </row>
    <row r="34" spans="3:15">
      <c r="C34">
        <v>8</v>
      </c>
      <c r="D34">
        <v>4</v>
      </c>
      <c r="E34">
        <v>3</v>
      </c>
      <c r="F34">
        <v>3</v>
      </c>
      <c r="G34">
        <v>2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2</v>
      </c>
      <c r="O34">
        <v>88</v>
      </c>
    </row>
    <row r="35" spans="3:15">
      <c r="C35">
        <v>8</v>
      </c>
      <c r="D35">
        <v>5</v>
      </c>
      <c r="E35">
        <v>3</v>
      </c>
      <c r="F35">
        <v>3</v>
      </c>
      <c r="G35">
        <v>2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2</v>
      </c>
      <c r="O35">
        <v>88</v>
      </c>
    </row>
    <row r="36" spans="3:15">
      <c r="C36">
        <v>7</v>
      </c>
      <c r="D36">
        <v>1</v>
      </c>
      <c r="E36">
        <v>3</v>
      </c>
      <c r="F36">
        <v>3</v>
      </c>
      <c r="G36">
        <v>3</v>
      </c>
      <c r="H36">
        <v>3</v>
      </c>
      <c r="I36">
        <v>2</v>
      </c>
      <c r="J36">
        <v>3</v>
      </c>
      <c r="K36">
        <v>3</v>
      </c>
      <c r="L36">
        <v>3</v>
      </c>
      <c r="M36">
        <v>3</v>
      </c>
      <c r="N36">
        <v>2</v>
      </c>
      <c r="O36">
        <v>82</v>
      </c>
    </row>
    <row r="37" spans="3:15">
      <c r="C37">
        <v>7</v>
      </c>
      <c r="D37">
        <v>2</v>
      </c>
      <c r="E37">
        <v>3</v>
      </c>
      <c r="F37">
        <v>3</v>
      </c>
      <c r="G37">
        <v>3</v>
      </c>
      <c r="H37">
        <v>3</v>
      </c>
      <c r="I37">
        <v>2</v>
      </c>
      <c r="J37">
        <v>3</v>
      </c>
      <c r="K37">
        <v>3</v>
      </c>
      <c r="L37">
        <v>3</v>
      </c>
      <c r="M37">
        <v>3</v>
      </c>
      <c r="N37">
        <v>2</v>
      </c>
      <c r="O37">
        <v>82</v>
      </c>
    </row>
    <row r="38" spans="3:15">
      <c r="C38">
        <v>7</v>
      </c>
      <c r="D38">
        <v>3</v>
      </c>
      <c r="E38">
        <v>3</v>
      </c>
      <c r="F38">
        <v>3</v>
      </c>
      <c r="G38">
        <v>3</v>
      </c>
      <c r="H38">
        <v>3</v>
      </c>
      <c r="I38">
        <v>2</v>
      </c>
      <c r="J38">
        <v>3</v>
      </c>
      <c r="K38">
        <v>3</v>
      </c>
      <c r="L38">
        <v>3</v>
      </c>
      <c r="M38">
        <v>3</v>
      </c>
      <c r="N38">
        <v>2</v>
      </c>
      <c r="O38">
        <v>82</v>
      </c>
    </row>
    <row r="39" spans="3:15">
      <c r="C39">
        <v>7</v>
      </c>
      <c r="D39">
        <v>4</v>
      </c>
      <c r="E39">
        <v>3</v>
      </c>
      <c r="F39">
        <v>3</v>
      </c>
      <c r="G39">
        <v>3</v>
      </c>
      <c r="H39">
        <v>3</v>
      </c>
      <c r="I39">
        <v>2</v>
      </c>
      <c r="J39">
        <v>3</v>
      </c>
      <c r="K39">
        <v>3</v>
      </c>
      <c r="L39">
        <v>3</v>
      </c>
      <c r="M39">
        <v>3</v>
      </c>
      <c r="N39">
        <v>2</v>
      </c>
      <c r="O39">
        <v>82</v>
      </c>
    </row>
    <row r="40" spans="3:15">
      <c r="C40">
        <v>7</v>
      </c>
      <c r="D40">
        <v>5</v>
      </c>
      <c r="E40">
        <v>3</v>
      </c>
      <c r="F40">
        <v>3</v>
      </c>
      <c r="G40">
        <v>3</v>
      </c>
      <c r="H40">
        <v>3</v>
      </c>
      <c r="I40">
        <v>2</v>
      </c>
      <c r="J40">
        <v>3</v>
      </c>
      <c r="K40">
        <v>3</v>
      </c>
      <c r="L40">
        <v>3</v>
      </c>
      <c r="M40">
        <v>3</v>
      </c>
      <c r="N40">
        <v>2</v>
      </c>
      <c r="O40">
        <v>82</v>
      </c>
    </row>
    <row r="41" spans="3:15">
      <c r="C41">
        <v>1</v>
      </c>
      <c r="D41">
        <v>1</v>
      </c>
      <c r="E41">
        <v>3</v>
      </c>
      <c r="F41">
        <v>3</v>
      </c>
      <c r="G41">
        <v>1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2</v>
      </c>
      <c r="O41">
        <v>86</v>
      </c>
    </row>
    <row r="42" spans="3:15">
      <c r="C42">
        <v>1</v>
      </c>
      <c r="D42">
        <v>2</v>
      </c>
      <c r="E42">
        <v>3</v>
      </c>
      <c r="F42">
        <v>3</v>
      </c>
      <c r="G42">
        <v>1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2</v>
      </c>
      <c r="O42">
        <v>86</v>
      </c>
    </row>
    <row r="43" spans="3:15">
      <c r="C43">
        <v>1</v>
      </c>
      <c r="D43">
        <v>3</v>
      </c>
      <c r="E43">
        <v>3</v>
      </c>
      <c r="F43">
        <v>3</v>
      </c>
      <c r="G43">
        <v>1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2</v>
      </c>
      <c r="O43">
        <v>86</v>
      </c>
    </row>
    <row r="44" spans="3:15">
      <c r="C44">
        <v>1</v>
      </c>
      <c r="D44">
        <v>4</v>
      </c>
      <c r="E44">
        <v>3</v>
      </c>
      <c r="F44">
        <v>3</v>
      </c>
      <c r="G44">
        <v>1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2</v>
      </c>
      <c r="O44">
        <v>86</v>
      </c>
    </row>
    <row r="45" spans="3:15">
      <c r="C45">
        <v>13</v>
      </c>
      <c r="D45">
        <v>1</v>
      </c>
      <c r="E45">
        <v>3</v>
      </c>
      <c r="F45">
        <v>3</v>
      </c>
      <c r="G45">
        <v>2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92</v>
      </c>
    </row>
    <row r="46" spans="3:15">
      <c r="C46">
        <v>13</v>
      </c>
      <c r="D46">
        <v>2</v>
      </c>
      <c r="E46">
        <v>3</v>
      </c>
      <c r="F46">
        <v>3</v>
      </c>
      <c r="G46">
        <v>2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92</v>
      </c>
    </row>
    <row r="47" spans="3:15">
      <c r="C47">
        <v>13</v>
      </c>
      <c r="D47">
        <v>3</v>
      </c>
      <c r="E47">
        <v>3</v>
      </c>
      <c r="F47">
        <v>3</v>
      </c>
      <c r="G47">
        <v>2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92</v>
      </c>
    </row>
    <row r="48" spans="3:15">
      <c r="C48">
        <v>13</v>
      </c>
      <c r="D48">
        <v>4</v>
      </c>
      <c r="E48">
        <v>3</v>
      </c>
      <c r="F48">
        <v>3</v>
      </c>
      <c r="G48">
        <v>2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92</v>
      </c>
    </row>
    <row r="49" spans="3:15">
      <c r="C49">
        <v>13</v>
      </c>
      <c r="D49">
        <v>5</v>
      </c>
      <c r="E49">
        <v>3</v>
      </c>
      <c r="F49">
        <v>3</v>
      </c>
      <c r="G49">
        <v>2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92</v>
      </c>
    </row>
    <row r="50" spans="3:15">
      <c r="C50">
        <v>9</v>
      </c>
      <c r="D50">
        <v>1</v>
      </c>
      <c r="E50">
        <v>3</v>
      </c>
      <c r="F50">
        <v>3</v>
      </c>
      <c r="G50">
        <v>1</v>
      </c>
      <c r="H50">
        <v>3</v>
      </c>
      <c r="I50">
        <v>1</v>
      </c>
      <c r="J50">
        <v>3</v>
      </c>
      <c r="K50">
        <v>3</v>
      </c>
      <c r="L50">
        <v>3</v>
      </c>
      <c r="M50">
        <v>3</v>
      </c>
      <c r="N50">
        <v>2</v>
      </c>
      <c r="O50">
        <v>80</v>
      </c>
    </row>
    <row r="51" spans="3:15">
      <c r="C51">
        <v>9</v>
      </c>
      <c r="D51">
        <v>2</v>
      </c>
      <c r="E51">
        <v>3</v>
      </c>
      <c r="F51">
        <v>3</v>
      </c>
      <c r="G51">
        <v>1</v>
      </c>
      <c r="H51">
        <v>3</v>
      </c>
      <c r="I51">
        <v>1</v>
      </c>
      <c r="J51">
        <v>3</v>
      </c>
      <c r="K51">
        <v>3</v>
      </c>
      <c r="L51">
        <v>3</v>
      </c>
      <c r="M51">
        <v>3</v>
      </c>
      <c r="N51">
        <v>2</v>
      </c>
      <c r="O51">
        <v>80</v>
      </c>
    </row>
    <row r="52" spans="3:15">
      <c r="C52">
        <v>9</v>
      </c>
      <c r="D52">
        <v>3</v>
      </c>
      <c r="E52">
        <v>3</v>
      </c>
      <c r="F52">
        <v>3</v>
      </c>
      <c r="G52">
        <v>1</v>
      </c>
      <c r="H52">
        <v>3</v>
      </c>
      <c r="I52">
        <v>1</v>
      </c>
      <c r="J52">
        <v>3</v>
      </c>
      <c r="K52">
        <v>3</v>
      </c>
      <c r="L52">
        <v>3</v>
      </c>
      <c r="M52">
        <v>3</v>
      </c>
      <c r="N52">
        <v>2</v>
      </c>
      <c r="O52">
        <v>80</v>
      </c>
    </row>
    <row r="53" spans="3:15">
      <c r="C53">
        <v>9</v>
      </c>
      <c r="D53">
        <v>4</v>
      </c>
      <c r="E53">
        <v>3</v>
      </c>
      <c r="F53">
        <v>3</v>
      </c>
      <c r="G53">
        <v>1</v>
      </c>
      <c r="H53">
        <v>3</v>
      </c>
      <c r="I53">
        <v>1</v>
      </c>
      <c r="J53">
        <v>3</v>
      </c>
      <c r="K53">
        <v>3</v>
      </c>
      <c r="L53">
        <v>3</v>
      </c>
      <c r="M53">
        <v>3</v>
      </c>
      <c r="N53">
        <v>2</v>
      </c>
      <c r="O53">
        <v>80</v>
      </c>
    </row>
    <row r="54" spans="3:15">
      <c r="C54">
        <v>12</v>
      </c>
      <c r="D54">
        <v>1</v>
      </c>
      <c r="E54">
        <v>3</v>
      </c>
      <c r="F54">
        <v>3</v>
      </c>
      <c r="G54">
        <v>2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2</v>
      </c>
      <c r="O54">
        <v>86</v>
      </c>
    </row>
    <row r="55" spans="3:15">
      <c r="C55">
        <v>12</v>
      </c>
      <c r="D55">
        <v>2</v>
      </c>
      <c r="E55">
        <v>3</v>
      </c>
      <c r="F55">
        <v>3</v>
      </c>
      <c r="G55">
        <v>2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2</v>
      </c>
      <c r="O55">
        <v>86</v>
      </c>
    </row>
    <row r="56" spans="3:15">
      <c r="C56">
        <v>12</v>
      </c>
      <c r="D56">
        <v>3</v>
      </c>
      <c r="E56">
        <v>3</v>
      </c>
      <c r="F56">
        <v>3</v>
      </c>
      <c r="G56">
        <v>2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  <c r="N56">
        <v>2</v>
      </c>
      <c r="O56">
        <v>86</v>
      </c>
    </row>
    <row r="57" spans="3:15">
      <c r="C57">
        <v>12</v>
      </c>
      <c r="D57">
        <v>4</v>
      </c>
      <c r="E57">
        <v>3</v>
      </c>
      <c r="F57">
        <v>3</v>
      </c>
      <c r="G57">
        <v>2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2</v>
      </c>
      <c r="O57">
        <v>86</v>
      </c>
    </row>
    <row r="58" spans="3:15">
      <c r="C58">
        <v>12</v>
      </c>
      <c r="D58">
        <v>5</v>
      </c>
      <c r="E58">
        <v>3</v>
      </c>
      <c r="F58">
        <v>3</v>
      </c>
      <c r="G58">
        <v>2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2</v>
      </c>
      <c r="O58">
        <v>86</v>
      </c>
    </row>
    <row r="59" spans="3:15">
      <c r="C59">
        <v>6</v>
      </c>
      <c r="D59">
        <v>1</v>
      </c>
      <c r="E59">
        <v>3</v>
      </c>
      <c r="F59">
        <v>3</v>
      </c>
      <c r="G59">
        <v>2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2</v>
      </c>
      <c r="O59">
        <v>82</v>
      </c>
    </row>
    <row r="60" spans="3:15">
      <c r="C60">
        <v>6</v>
      </c>
      <c r="D60">
        <v>2</v>
      </c>
      <c r="E60">
        <v>3</v>
      </c>
      <c r="F60">
        <v>3</v>
      </c>
      <c r="G60">
        <v>2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2</v>
      </c>
      <c r="O60">
        <v>82</v>
      </c>
    </row>
    <row r="61" spans="3:15">
      <c r="C61">
        <v>6</v>
      </c>
      <c r="D61">
        <v>3</v>
      </c>
      <c r="E61">
        <v>3</v>
      </c>
      <c r="F61">
        <v>3</v>
      </c>
      <c r="G61">
        <v>2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2</v>
      </c>
      <c r="O61">
        <v>82</v>
      </c>
    </row>
    <row r="62" spans="3:15">
      <c r="C62">
        <v>6</v>
      </c>
      <c r="D62">
        <v>4</v>
      </c>
      <c r="E62">
        <v>3</v>
      </c>
      <c r="F62">
        <v>3</v>
      </c>
      <c r="G62">
        <v>2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2</v>
      </c>
      <c r="O62">
        <v>82</v>
      </c>
    </row>
    <row r="65" spans="3:14">
      <c r="C65" s="4" t="s">
        <v>13</v>
      </c>
      <c r="E65" s="8" t="s">
        <v>20</v>
      </c>
      <c r="F65" s="8" t="s">
        <v>21</v>
      </c>
      <c r="G65" s="8" t="s">
        <v>22</v>
      </c>
      <c r="H65" s="8" t="s">
        <v>23</v>
      </c>
      <c r="I65" s="8" t="s">
        <v>31</v>
      </c>
      <c r="J65" s="8" t="s">
        <v>25</v>
      </c>
      <c r="K65" s="8" t="s">
        <v>32</v>
      </c>
      <c r="L65" s="8" t="s">
        <v>9</v>
      </c>
      <c r="M65" s="8" t="s">
        <v>10</v>
      </c>
      <c r="N65" s="8" t="s">
        <v>11</v>
      </c>
    </row>
    <row r="66" spans="3:14">
      <c r="C66" s="4" t="s">
        <v>14</v>
      </c>
      <c r="E66" s="6">
        <v>3</v>
      </c>
      <c r="F66" s="6">
        <v>3</v>
      </c>
      <c r="G66" s="6">
        <v>3</v>
      </c>
      <c r="H66" s="6">
        <v>3</v>
      </c>
      <c r="I66" s="6">
        <v>3</v>
      </c>
      <c r="J66" s="6" t="s">
        <v>15</v>
      </c>
      <c r="K66" s="6" t="s">
        <v>15</v>
      </c>
      <c r="L66" s="6" t="s">
        <v>15</v>
      </c>
      <c r="M66" s="6" t="s">
        <v>15</v>
      </c>
      <c r="N66" s="6" t="s">
        <v>15</v>
      </c>
    </row>
    <row r="67" spans="3:14">
      <c r="C67" s="4" t="s">
        <v>16</v>
      </c>
      <c r="E67" s="7">
        <f>AVERAGE(Table35[Delivery_Organization])</f>
        <v>3</v>
      </c>
      <c r="F67" s="7">
        <f>AVERAGE(Table35[Delivery_Language/Enthusiasm/Eye contact])</f>
        <v>3</v>
      </c>
      <c r="G67" s="7">
        <f>AVERAGE(Table35[Delivery_Time/Equal distribution of work])</f>
        <v>2.098360655737705</v>
      </c>
      <c r="H67" s="7">
        <f>AVERAGE(Table35[Style_Clear graphs/figures/referencing/text])</f>
        <v>3</v>
      </c>
      <c r="I67" s="7">
        <f>AVERAGE(Table35[Style_Readable Text/relevant sig figures/consistent units])</f>
        <v>2.5901639344262297</v>
      </c>
      <c r="J67" s="7">
        <f>AVERAGE(Table35[Safety and Environmental Hazards])</f>
        <v>3</v>
      </c>
      <c r="K67" s="7">
        <f>AVERAGE(Table35[[Process Safety Analysis ]])</f>
        <v>2.9344262295081966</v>
      </c>
      <c r="L67" s="7">
        <f>AVERAGE(Table35[Process Controls])</f>
        <v>3</v>
      </c>
      <c r="M67" s="7">
        <f>AVERAGE(Table35[Economic Analysis])</f>
        <v>3</v>
      </c>
      <c r="N67" s="7">
        <f>AVERAGE(Table35[Sensitivity Analysis and Recommendation])</f>
        <v>2.278688524590164</v>
      </c>
    </row>
    <row r="68" spans="3:14">
      <c r="C68" s="4" t="s">
        <v>17</v>
      </c>
      <c r="E68" s="6">
        <f>STDEV(Table35[Delivery_Organization])</f>
        <v>0</v>
      </c>
      <c r="F68" s="6">
        <f>STDEV(Table35[Delivery_Language/Enthusiasm/Eye contact])</f>
        <v>0</v>
      </c>
      <c r="G68" s="6">
        <f>STDEV(Table35[Delivery_Time/Equal distribution of work])</f>
        <v>0.78961843175014768</v>
      </c>
      <c r="H68" s="6">
        <f>STDEV(Table35[Style_Clear graphs/figures/referencing/text])</f>
        <v>0</v>
      </c>
      <c r="I68" s="6">
        <f>STDEV(Table35[Style_Readable Text/relevant sig figures/consistent units])</f>
        <v>0.71593875856174249</v>
      </c>
      <c r="J68" s="6">
        <f>STDEV(Table35[Safety and Environmental Hazards])</f>
        <v>0</v>
      </c>
      <c r="K68" s="6">
        <f>STDEV(Table35[[Process Safety Analysis ]])</f>
        <v>0.24958982745138725</v>
      </c>
      <c r="L68" s="6">
        <f>STDEV(Table35[Process Controls])</f>
        <v>0</v>
      </c>
      <c r="M68" s="6">
        <f>STDEV(Table35[Economic Analysis])</f>
        <v>0</v>
      </c>
      <c r="N68" s="6">
        <f>STDEV(Table35[Sensitivity Analysis and Recommendation])</f>
        <v>0.45207475565381217</v>
      </c>
    </row>
    <row r="70" spans="3:14">
      <c r="C70" s="4" t="s">
        <v>26</v>
      </c>
      <c r="E70" s="4">
        <f>AVERAGE(E67:N67)</f>
        <v>2.7901639344262299</v>
      </c>
    </row>
    <row r="71" spans="3:14">
      <c r="C71" s="4" t="s">
        <v>19</v>
      </c>
      <c r="E71" s="4">
        <f>AVERAGE(J67:N67)</f>
        <v>2.8426229508196723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 397Spring2019 final report</vt:lpstr>
      <vt:lpstr>CHE 397 Spring 2019 report 3</vt:lpstr>
      <vt:lpstr>CHE 397Spring2019 final ppt</vt:lpstr>
      <vt:lpstr>CHE 397 Spring 2019 ppt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2020-05-18T21:51:35Z</dcterms:created>
  <dcterms:modified xsi:type="dcterms:W3CDTF">2020-05-18T22:40:13Z</dcterms:modified>
</cp:coreProperties>
</file>