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ul/Desktop/"/>
    </mc:Choice>
  </mc:AlternateContent>
  <xr:revisionPtr revIDLastSave="0" documentId="13_ncr:1_{6F05CD48-C726-704C-91F6-E34291E840B3}" xr6:coauthVersionLast="45" xr6:coauthVersionMax="45" xr10:uidLastSave="{00000000-0000-0000-0000-000000000000}"/>
  <bookViews>
    <workbookView xWindow="220" yWindow="460" windowWidth="26600" windowHeight="16540" firstSheet="2" xr2:uid="{065F00A7-F794-460D-A5B3-7793A2B1385E}"/>
  </bookViews>
  <sheets>
    <sheet name="CHE 397Spring2019 final report" sheetId="1" r:id="rId1"/>
    <sheet name="CHE 397Spring2019 final ppt" sheetId="2" r:id="rId2"/>
    <sheet name="CHE 396 Fall 2018 HW1" sheetId="3" r:id="rId3"/>
    <sheet name="CHE 396 Fall 2018 HW4" sheetId="4" r:id="rId4"/>
    <sheet name="CHE 396 Fall 2018 ppt1" sheetId="5" r:id="rId5"/>
    <sheet name="CHE 396 Fall 2019 HW5" sheetId="7" r:id="rId6"/>
    <sheet name="CHE 396 Fall 2019 HW6" sheetId="8" r:id="rId7"/>
    <sheet name="CHE 396 Fall 2017 HW5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6" i="8" l="1"/>
  <c r="E75" i="8"/>
  <c r="F73" i="8"/>
  <c r="G73" i="8"/>
  <c r="H73" i="8"/>
  <c r="I73" i="8"/>
  <c r="J73" i="8"/>
  <c r="E73" i="8"/>
  <c r="F72" i="8"/>
  <c r="G72" i="8"/>
  <c r="H72" i="8"/>
  <c r="I72" i="8"/>
  <c r="J72" i="8"/>
  <c r="E72" i="8"/>
  <c r="E70" i="5"/>
  <c r="F68" i="5"/>
  <c r="G68" i="5"/>
  <c r="H68" i="5"/>
  <c r="I68" i="5"/>
  <c r="J68" i="5"/>
  <c r="K68" i="5"/>
  <c r="L68" i="5"/>
  <c r="M68" i="5"/>
  <c r="N68" i="5"/>
  <c r="E68" i="5"/>
  <c r="F67" i="5"/>
  <c r="G67" i="5"/>
  <c r="H67" i="5"/>
  <c r="I67" i="5"/>
  <c r="J67" i="5"/>
  <c r="K67" i="5"/>
  <c r="L67" i="5"/>
  <c r="M67" i="5"/>
  <c r="N67" i="5"/>
  <c r="E67" i="5"/>
  <c r="D67" i="4"/>
  <c r="D66" i="4"/>
  <c r="E64" i="4"/>
  <c r="F64" i="4"/>
  <c r="G64" i="4"/>
  <c r="H64" i="4"/>
  <c r="I64" i="4"/>
  <c r="J64" i="4"/>
  <c r="K64" i="4"/>
  <c r="L64" i="4"/>
  <c r="M64" i="4"/>
  <c r="N64" i="4"/>
  <c r="O64" i="4"/>
  <c r="D64" i="4"/>
  <c r="E63" i="4"/>
  <c r="F63" i="4"/>
  <c r="G63" i="4"/>
  <c r="H63" i="4"/>
  <c r="I63" i="4"/>
  <c r="J63" i="4"/>
  <c r="K63" i="4"/>
  <c r="L63" i="4"/>
  <c r="M63" i="4"/>
  <c r="N63" i="4"/>
  <c r="O63" i="4"/>
  <c r="D63" i="4"/>
  <c r="D72" i="3"/>
  <c r="D71" i="3"/>
  <c r="E69" i="3"/>
  <c r="F69" i="3"/>
  <c r="G69" i="3"/>
  <c r="H69" i="3"/>
  <c r="I69" i="3"/>
  <c r="J69" i="3"/>
  <c r="K69" i="3"/>
  <c r="L69" i="3"/>
  <c r="M69" i="3"/>
  <c r="N69" i="3"/>
  <c r="D69" i="3"/>
  <c r="E68" i="3"/>
  <c r="F68" i="3"/>
  <c r="G68" i="3"/>
  <c r="H68" i="3"/>
  <c r="I68" i="3"/>
  <c r="J68" i="3"/>
  <c r="K68" i="3"/>
  <c r="L68" i="3"/>
  <c r="M68" i="3"/>
  <c r="N68" i="3"/>
  <c r="D68" i="3"/>
  <c r="E71" i="2"/>
  <c r="E70" i="2"/>
  <c r="F68" i="2"/>
  <c r="G68" i="2"/>
  <c r="H68" i="2"/>
  <c r="I68" i="2"/>
  <c r="J68" i="2"/>
  <c r="K68" i="2"/>
  <c r="L68" i="2"/>
  <c r="M68" i="2"/>
  <c r="N68" i="2"/>
  <c r="E68" i="2"/>
  <c r="F67" i="2"/>
  <c r="G67" i="2"/>
  <c r="H67" i="2"/>
  <c r="I67" i="2"/>
  <c r="J67" i="2"/>
  <c r="K67" i="2"/>
  <c r="L67" i="2"/>
  <c r="M67" i="2"/>
  <c r="N67" i="2"/>
  <c r="E67" i="2"/>
  <c r="D72" i="1"/>
  <c r="D71" i="1"/>
  <c r="E69" i="1"/>
  <c r="F69" i="1"/>
  <c r="G69" i="1"/>
  <c r="H69" i="1"/>
  <c r="I69" i="1"/>
  <c r="J69" i="1"/>
  <c r="K69" i="1"/>
  <c r="L69" i="1"/>
  <c r="M69" i="1"/>
  <c r="D69" i="1"/>
  <c r="E68" i="1"/>
  <c r="F68" i="1"/>
  <c r="G68" i="1"/>
  <c r="H68" i="1"/>
  <c r="I68" i="1"/>
  <c r="J68" i="1"/>
  <c r="K68" i="1"/>
  <c r="L68" i="1"/>
  <c r="M68" i="1"/>
  <c r="D68" i="1"/>
</calcChain>
</file>

<file path=xl/sharedStrings.xml><?xml version="1.0" encoding="utf-8"?>
<sst xmlns="http://schemas.openxmlformats.org/spreadsheetml/2006/main" count="278" uniqueCount="73">
  <si>
    <t>Group number</t>
  </si>
  <si>
    <t>Student number</t>
  </si>
  <si>
    <t>Clarity of report</t>
  </si>
  <si>
    <t>Report Formatting_figures/tables/referencing/significant figures</t>
  </si>
  <si>
    <t>Executive Summary</t>
  </si>
  <si>
    <t>Introduction/market analysis</t>
  </si>
  <si>
    <t>PFD/Equipment sizing</t>
  </si>
  <si>
    <t>Material balance</t>
  </si>
  <si>
    <t>Safety and Environmental hazards and Process Safety Analysis (HAZOP)</t>
  </si>
  <si>
    <t>Process Controls</t>
  </si>
  <si>
    <t>Economic Analysis</t>
  </si>
  <si>
    <t>Sensitivity Analysis and Recommendation</t>
  </si>
  <si>
    <t>Raw Total</t>
  </si>
  <si>
    <t>Delivery_Organization</t>
  </si>
  <si>
    <t>Delivery_Language/Enthusiasm/Eye contact</t>
  </si>
  <si>
    <t>Delivery_Time/Equal distribution of work</t>
  </si>
  <si>
    <t>Style_Clear graphs/figures/referencing/text</t>
  </si>
  <si>
    <t>PFD/material balance/equipment sizing</t>
  </si>
  <si>
    <t>Safety and Environmental Hazards</t>
  </si>
  <si>
    <t>Clarity of Report</t>
  </si>
  <si>
    <t>Report Formatting</t>
  </si>
  <si>
    <t>Project Charter/ Design Plan</t>
  </si>
  <si>
    <t>Clarity/Relevance/Heading/Numbering of Figures/Tables</t>
  </si>
  <si>
    <t>Referencing</t>
  </si>
  <si>
    <t>Introduction</t>
  </si>
  <si>
    <t>Market Analysis</t>
  </si>
  <si>
    <t>Process Description</t>
  </si>
  <si>
    <t>Competing Processes</t>
  </si>
  <si>
    <t>BFD/Rough Mass Balance</t>
  </si>
  <si>
    <t>PFD</t>
  </si>
  <si>
    <t>Significant Figures</t>
  </si>
  <si>
    <t>Capital Cost</t>
  </si>
  <si>
    <t>Equipment cost (hand vs Aspen)/ Discussion</t>
  </si>
  <si>
    <t>VCOP/FCOP/Revenue</t>
  </si>
  <si>
    <t>Simple Payback, ROI, DCFROR</t>
  </si>
  <si>
    <t>NPV</t>
  </si>
  <si>
    <t>Sensitivity Analysis/ Discussion</t>
  </si>
  <si>
    <t>Style_Clear graphs/figures/referencing</t>
  </si>
  <si>
    <t>Style_Readable Text/relevant sig figures/consistent units</t>
  </si>
  <si>
    <t>BFD/PFD/Rough Material Balance</t>
  </si>
  <si>
    <t>Grade</t>
  </si>
  <si>
    <t>Clarity of Report and format</t>
  </si>
  <si>
    <t>Process Hazard Identification</t>
  </si>
  <si>
    <t>HAZOP</t>
  </si>
  <si>
    <t>5 afternoon classs</t>
  </si>
  <si>
    <t>6 morning</t>
  </si>
  <si>
    <t>5 morning</t>
  </si>
  <si>
    <t>3 afternoon classs</t>
  </si>
  <si>
    <t>4 morning</t>
  </si>
  <si>
    <t>4 afternoon</t>
  </si>
  <si>
    <t>7 afternoon</t>
  </si>
  <si>
    <t>8 afternoon</t>
  </si>
  <si>
    <t>1 morning</t>
  </si>
  <si>
    <t>1 afternoon</t>
  </si>
  <si>
    <t>2 afternoon</t>
  </si>
  <si>
    <t>6 afternoon</t>
  </si>
  <si>
    <t>7 morning</t>
  </si>
  <si>
    <t>2 morning</t>
  </si>
  <si>
    <t>3 morning</t>
  </si>
  <si>
    <t>9 afternoon</t>
  </si>
  <si>
    <t>8 morning</t>
  </si>
  <si>
    <t xml:space="preserve">Rubric Item </t>
  </si>
  <si>
    <t>Mapped SLO</t>
  </si>
  <si>
    <t>Avg</t>
  </si>
  <si>
    <t>STD</t>
  </si>
  <si>
    <t>3,2</t>
  </si>
  <si>
    <t>SLO 2 Overall Avg</t>
  </si>
  <si>
    <t xml:space="preserve">This HW is about process economics </t>
  </si>
  <si>
    <t xml:space="preserve">This HW is about process safety </t>
  </si>
  <si>
    <t xml:space="preserve">SLO 3 (written) Overall Avg </t>
  </si>
  <si>
    <t xml:space="preserve">SLO 3 (oral) Overall Avg </t>
  </si>
  <si>
    <t xml:space="preserve">SLO 3 (oral)  Overall Avg </t>
  </si>
  <si>
    <t xml:space="preserve">SLO 3 (written)  Overall Avg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</si>
</sst>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444444"/>
      <name val="Arial"/>
      <family val="2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44444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8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/>
    <xf numFmtId="0" fontId="0" fillId="7" borderId="0" xfId="0" applyFill="1"/>
    <xf numFmtId="0" fontId="0" fillId="7" borderId="1" xfId="0" applyFill="1" applyBorder="1"/>
    <xf numFmtId="0" fontId="5" fillId="2" borderId="2" xfId="0" applyFont="1" applyFill="1" applyBorder="1"/>
    <xf numFmtId="0" fontId="0" fillId="8" borderId="1" xfId="0" applyFill="1" applyBorder="1"/>
    <xf numFmtId="0" fontId="5" fillId="3" borderId="4" xfId="0" applyFont="1" applyFill="1" applyBorder="1"/>
    <xf numFmtId="0" fontId="0" fillId="8" borderId="0" xfId="0" applyFill="1" applyBorder="1"/>
    <xf numFmtId="0" fontId="0" fillId="8" borderId="3" xfId="0" applyFill="1" applyBorder="1"/>
    <xf numFmtId="0" fontId="0" fillId="9" borderId="1" xfId="0" applyFill="1" applyBorder="1"/>
    <xf numFmtId="0" fontId="0" fillId="9" borderId="0" xfId="0" applyFill="1"/>
    <xf numFmtId="0" fontId="5" fillId="4" borderId="6" xfId="0" applyFont="1" applyFill="1" applyBorder="1"/>
    <xf numFmtId="0" fontId="0" fillId="9" borderId="3" xfId="0" applyFill="1" applyBorder="1"/>
    <xf numFmtId="0" fontId="0" fillId="10" borderId="1" xfId="0" applyFill="1" applyBorder="1"/>
    <xf numFmtId="0" fontId="0" fillId="10" borderId="0" xfId="0" applyFill="1"/>
    <xf numFmtId="0" fontId="5" fillId="5" borderId="7" xfId="0" applyFont="1" applyFill="1" applyBorder="1"/>
    <xf numFmtId="0" fontId="0" fillId="10" borderId="3" xfId="0" applyFill="1" applyBorder="1"/>
    <xf numFmtId="0" fontId="0" fillId="11" borderId="1" xfId="0" applyFill="1" applyBorder="1"/>
    <xf numFmtId="0" fontId="0" fillId="11" borderId="0" xfId="0" applyFill="1"/>
    <xf numFmtId="0" fontId="0" fillId="0" borderId="0" xfId="0" applyFill="1"/>
    <xf numFmtId="0" fontId="4" fillId="6" borderId="8" xfId="0" applyFont="1" applyFill="1" applyBorder="1"/>
    <xf numFmtId="0" fontId="0" fillId="11" borderId="3" xfId="0" applyFill="1" applyBorder="1"/>
    <xf numFmtId="0" fontId="0" fillId="11" borderId="9" xfId="0" applyFill="1" applyBorder="1"/>
    <xf numFmtId="0" fontId="0" fillId="0" borderId="5" xfId="0" applyFill="1" applyBorder="1"/>
    <xf numFmtId="0" fontId="0" fillId="12" borderId="1" xfId="0" applyFill="1" applyBorder="1"/>
    <xf numFmtId="0" fontId="0" fillId="12" borderId="0" xfId="0" applyFill="1"/>
    <xf numFmtId="0" fontId="6" fillId="3" borderId="4" xfId="0" applyFont="1" applyFill="1" applyBorder="1" applyAlignment="1">
      <alignment vertical="center" wrapText="1"/>
    </xf>
    <xf numFmtId="0" fontId="0" fillId="12" borderId="3" xfId="0" applyFill="1" applyBorder="1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7AC42D-1A1D-C545-BC72-19E3F9B9A412}" name="Table2" displayName="Table2" ref="B1:N62" totalsRowShown="0">
  <autoFilter ref="B1:N62" xr:uid="{A37BF040-F45A-2D40-94EA-39BF3ABCC5EE}"/>
  <tableColumns count="13">
    <tableColumn id="1" xr3:uid="{427766BD-8087-E84B-B7CE-971F0CBDAC62}" name="Group number"/>
    <tableColumn id="2" xr3:uid="{88257AD1-CB44-9A41-BA80-210A51468F1E}" name="Student number"/>
    <tableColumn id="3" xr3:uid="{B84A338E-5AD6-1F41-B657-201BECCB2EC0}" name="Clarity of report"/>
    <tableColumn id="4" xr3:uid="{B693E3D8-C544-5E43-8840-7F0CE3DEBD19}" name="Report Formatting_figures/tables/referencing/significant figures"/>
    <tableColumn id="5" xr3:uid="{D1A3EE3C-3D7F-6D42-8439-EF1FFF56F05C}" name="Executive Summary"/>
    <tableColumn id="6" xr3:uid="{2C280070-05CC-9848-8646-E297414C9098}" name="Introduction/market analysis"/>
    <tableColumn id="7" xr3:uid="{3270B104-6938-BF4B-B3BC-6D6A4007BA17}" name="PFD/Equipment sizing"/>
    <tableColumn id="8" xr3:uid="{1C9E7B3D-89B8-B543-A984-63CC803904DC}" name="Material balance"/>
    <tableColumn id="9" xr3:uid="{E7932942-12B0-1B4E-9D5A-F953E6CD3E4D}" name="Safety and Environmental hazards and Process Safety Analysis (HAZOP)"/>
    <tableColumn id="10" xr3:uid="{F8F7B1E7-81F9-1D49-A2DD-566278A91A2D}" name="Process Controls"/>
    <tableColumn id="11" xr3:uid="{045BA8CD-70A6-344C-BA9F-E478122037BA}" name="Economic Analysis"/>
    <tableColumn id="12" xr3:uid="{FD4A6F78-82FE-E54C-A949-351C925FDC33}" name="Sensitivity Analysis and Recommendation"/>
    <tableColumn id="13" xr3:uid="{3651CB76-B340-D14C-A73F-A34343DF8447}" name="Raw Total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5D617A-F009-9C46-A37F-C83612FAEECB}" name="Table3" displayName="Table3" ref="C1:O62" totalsRowShown="0">
  <autoFilter ref="C1:O62" xr:uid="{0E5F4324-BA87-504C-8A5C-6544F9960DD4}"/>
  <tableColumns count="13">
    <tableColumn id="1" xr3:uid="{98274004-5D00-2740-9068-59886F9F9722}" name="Group number"/>
    <tableColumn id="2" xr3:uid="{AA2F7E91-1358-AF4E-B09C-26B5CA4F5212}" name="Student number"/>
    <tableColumn id="3" xr3:uid="{37EBEBC8-45A7-084D-8445-A3E8EA47DFE7}" name="Delivery_Organization"/>
    <tableColumn id="4" xr3:uid="{EDC75112-91E7-1B4C-95BE-EC8AF703C1F0}" name="Delivery_Language/Enthusiasm/Eye contact"/>
    <tableColumn id="5" xr3:uid="{52541BFD-BA40-1446-8C0E-8FA653B59FDC}" name="Delivery_Time/Equal distribution of work"/>
    <tableColumn id="6" xr3:uid="{B1464007-2045-2D43-8323-8B18A95A9EAA}" name="Style_Clear graphs/figures/referencing/text"/>
    <tableColumn id="7" xr3:uid="{9CBE85FC-391C-0D4F-B302-583171389590}" name="Introduction/market analysis"/>
    <tableColumn id="8" xr3:uid="{EEEEF408-7170-3B4F-9B30-9B746CAA951E}" name="PFD/material balance/equipment sizing"/>
    <tableColumn id="9" xr3:uid="{38EC3CF7-1AE2-CC4B-9449-9195BB0FEEEF}" name="Safety and Environmental Hazards"/>
    <tableColumn id="10" xr3:uid="{A3438E20-1643-5741-91D7-50C824CD06E7}" name="Process Controls"/>
    <tableColumn id="11" xr3:uid="{B0F7A656-399A-844C-A45D-94064E1ABB93}" name="Economic Analysis"/>
    <tableColumn id="12" xr3:uid="{0E9B57AE-4117-A74A-B362-5C667E596AF9}" name="Sensitivity Analysis and Recommendation"/>
    <tableColumn id="13" xr3:uid="{A69F0649-0C1C-D94A-8B68-6F77446A2D5C}" name="Raw Total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A591FA-F0CD-234F-8D91-FB9F36BCA9C9}" name="Table4" displayName="Table4" ref="B1:O62" totalsRowShown="0">
  <autoFilter ref="B1:O62" xr:uid="{A770B603-CFC2-4545-BB6A-F5A284E4259B}"/>
  <tableColumns count="14">
    <tableColumn id="1" xr3:uid="{8D9C53CA-F14F-0E4A-9E49-EA3748D0E0E0}" name="Group number"/>
    <tableColumn id="2" xr3:uid="{B9C8AC2C-4E99-144B-A5CD-6D8E06D64239}" name="Student number"/>
    <tableColumn id="3" xr3:uid="{BEDBA8D0-8C4A-7A4D-AB91-80611EE5CE6E}" name="Clarity of Report"/>
    <tableColumn id="4" xr3:uid="{DC6AA38A-B291-2C47-9404-21FAC44BE9F3}" name="Report Formatting"/>
    <tableColumn id="5" xr3:uid="{D2B0D8EA-A4CC-DA48-B18F-29058B8C65D1}" name="Project Charter/ Design Plan"/>
    <tableColumn id="6" xr3:uid="{BCD66224-C493-8F4F-9F68-76741215EFA9}" name="Clarity/Relevance/Heading/Numbering of Figures/Tables"/>
    <tableColumn id="7" xr3:uid="{9C2CC544-0AF7-D14B-A438-A48641DAC5EB}" name="Referencing"/>
    <tableColumn id="8" xr3:uid="{631DA18F-1CA7-2548-8D6E-8A14C2A9C486}" name="Introduction"/>
    <tableColumn id="9" xr3:uid="{92D87F9D-A68A-A64F-99C5-9137B72615BB}" name="Market Analysis"/>
    <tableColumn id="10" xr3:uid="{466F8A60-6420-0C43-AF32-197C9F981A37}" name="Process Description"/>
    <tableColumn id="11" xr3:uid="{8324D765-2EC8-B74F-9573-A78CFC84A3D8}" name="Competing Processes"/>
    <tableColumn id="12" xr3:uid="{2D12C447-2F4E-B745-8559-C09979A23073}" name="BFD/Rough Mass Balance"/>
    <tableColumn id="13" xr3:uid="{636F48AA-2040-1647-BB7A-B067B95CE8D9}" name="PFD"/>
    <tableColumn id="14" xr3:uid="{C38407EA-4A12-BC4A-9E98-08376CD2E326}" name="Raw Total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283310-F5A0-B046-BEB1-A4A163106BCA}" name="Table7" displayName="Table7" ref="B1:P58" totalsRowShown="0">
  <autoFilter ref="B1:P58" xr:uid="{21696DFE-3CA2-1643-8FEE-C693BC195A00}"/>
  <tableColumns count="15">
    <tableColumn id="1" xr3:uid="{94478F2A-E24F-244F-A825-B91CE48B7558}" name="Group number"/>
    <tableColumn id="2" xr3:uid="{B032ECD5-63E9-5D4A-BC32-7B4FB3CD6119}" name="Student number"/>
    <tableColumn id="3" xr3:uid="{7DC96513-CFA5-2F4A-94CE-FC66AD4BD475}" name="Clarity of Report"/>
    <tableColumn id="4" xr3:uid="{8F0D6DA8-6EFF-104D-A9B2-001AF9810A43}" name="Report Formatting"/>
    <tableColumn id="5" xr3:uid="{F89C12F3-AA43-3844-A741-BBA8A2E2820B}" name="Project Charter/ Design Plan"/>
    <tableColumn id="6" xr3:uid="{13D675C6-0EBB-304F-A34B-599EA22CB509}" name="Clarity/Relevance/Heading/Numbering of Figures/Tables"/>
    <tableColumn id="7" xr3:uid="{6EBF50E6-4F0F-F144-8957-841C149215A1}" name="Referencing"/>
    <tableColumn id="8" xr3:uid="{68725C95-9E88-EA4C-8D50-EE94D35EA7D2}" name="Significant Figures"/>
    <tableColumn id="9" xr3:uid="{56D4B8F7-3AAD-9743-9C84-F4E16A0070F4}" name="Capital Cost"/>
    <tableColumn id="10" xr3:uid="{BC031040-4078-4946-8439-6825A2377666}" name="Equipment cost (hand vs Aspen)/ Discussion"/>
    <tableColumn id="11" xr3:uid="{6E3FD08C-4201-0A47-B7DF-5DEAEE02CF7B}" name="VCOP/FCOP/Revenue"/>
    <tableColumn id="12" xr3:uid="{F62F3B42-AA18-A147-89AC-C43A3F5F93C2}" name="Simple Payback, ROI, DCFROR"/>
    <tableColumn id="13" xr3:uid="{43A0F2E3-B9B1-3A42-B401-4512EB7182F9}" name="NPV"/>
    <tableColumn id="14" xr3:uid="{67D10591-52E6-BA48-A649-DB69D0313B55}" name="Sensitivity Analysis/ Discussion"/>
    <tableColumn id="15" xr3:uid="{DB5ACBB6-4DBB-464A-A063-09B3ED5059B1}" name="Raw Total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C64124-BAB1-654B-9A77-7A957EA000D8}" name="Table8" displayName="Table8" ref="C1:O62" totalsRowShown="0" headerRowDxfId="1" dataDxfId="0">
  <autoFilter ref="C1:O62" xr:uid="{E677AAF7-E350-0C48-9E9B-DF313AC5EC91}"/>
  <tableColumns count="13">
    <tableColumn id="1" xr3:uid="{81ABA490-6D81-8441-A777-BD1A9D236B6E}" name="Group number" dataDxfId="14"/>
    <tableColumn id="2" xr3:uid="{C9B49BC9-4E70-E142-A0E2-691814630D8C}" name="Student number" dataDxfId="13"/>
    <tableColumn id="3" xr3:uid="{CE7DCD6C-FD4B-B949-9EE4-D69FE3892331}" name="Delivery_Organization" dataDxfId="12"/>
    <tableColumn id="4" xr3:uid="{4D69A9FE-1E00-404D-9216-1030A0057C23}" name="Delivery_Language/Enthusiasm/Eye contact" dataDxfId="11"/>
    <tableColumn id="5" xr3:uid="{704EACC1-70E7-CE4E-A4A3-385758A195DE}" name="Delivery_Time/Equal distribution of work" dataDxfId="10"/>
    <tableColumn id="6" xr3:uid="{3A54FA94-76BE-7E47-814F-6B6298FFBB83}" name="Style_Clear graphs/figures/referencing" dataDxfId="9"/>
    <tableColumn id="7" xr3:uid="{C829348C-11C5-B34D-BFEB-225BF3A9DF86}" name="Style_Readable Text/relevant sig figures/consistent units" dataDxfId="8"/>
    <tableColumn id="8" xr3:uid="{76D97E27-B33D-694C-AFEB-93F35CFB9650}" name="Introduction" dataDxfId="7"/>
    <tableColumn id="9" xr3:uid="{D49DEACC-4790-0F4E-AA54-60F01B8D7CCF}" name="Market Analysis" dataDxfId="6"/>
    <tableColumn id="10" xr3:uid="{C0B579F8-F9CF-DF48-9253-DFBE963DEC29}" name="Process Description" dataDxfId="5"/>
    <tableColumn id="11" xr3:uid="{94F3CF58-2E2C-7A48-9A8C-FD1D5D58CACF}" name="Competing Processes" dataDxfId="4"/>
    <tableColumn id="12" xr3:uid="{CFFEAA20-EC31-C042-8784-F8CDBD20E5C3}" name="BFD/PFD/Rough Material Balance" dataDxfId="3"/>
    <tableColumn id="13" xr3:uid="{CDFE4199-BE0A-CB4B-88CB-2D9888D8E23C}" name="Raw Total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55461A-4FD6-D24E-BC32-BE9A373EC42B}" name="Table9" displayName="Table9" ref="C1:K67" totalsRowShown="0">
  <autoFilter ref="C1:K67" xr:uid="{5CF69420-734F-A146-960F-8ED9049690BC}"/>
  <tableColumns count="9">
    <tableColumn id="1" xr3:uid="{BC4DF6CA-E358-DB49-95F8-5BD8732FF3A1}" name="Group number"/>
    <tableColumn id="2" xr3:uid="{C2AE224E-3136-354F-BF6F-6B3B77ECE900}" name="Student number"/>
    <tableColumn id="3" xr3:uid="{31D6E95E-8C01-FA46-9957-4C61089B6E72}" name="Clarity of Report and format"/>
    <tableColumn id="4" xr3:uid="{376A6A54-F568-F140-BB4E-6B708C77F284}" name="Project Charter/ Design Plan"/>
    <tableColumn id="5" xr3:uid="{475B2ADB-9682-9043-B5DC-16F68D0C7105}" name="Clarity/Relevance/Heading/Numbering of Figures/Tables"/>
    <tableColumn id="6" xr3:uid="{461053FF-4562-5241-85E7-F7BC330A495D}" name="Referencing"/>
    <tableColumn id="7" xr3:uid="{D600BAD5-AC48-AA46-9683-DF9D25982EAD}" name="Process Hazard Identification"/>
    <tableColumn id="8" xr3:uid="{DE111B0C-8456-3C4B-8FF3-86330639D21E}" name="HAZOP"/>
    <tableColumn id="9" xr3:uid="{6BB44EDE-733C-B249-AAE0-E043E16ED0E2}" name="Raw Tot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3574-1194-4F14-9AE1-05329AF91338}">
  <dimension ref="B1:N72"/>
  <sheetViews>
    <sheetView tabSelected="1" topLeftCell="A51" workbookViewId="0">
      <selection activeCell="I79" sqref="I79"/>
    </sheetView>
  </sheetViews>
  <sheetFormatPr baseColWidth="10" defaultColWidth="8.83203125" defaultRowHeight="15" x14ac:dyDescent="0.2"/>
  <cols>
    <col min="2" max="2" width="15" customWidth="1"/>
    <col min="3" max="3" width="6" customWidth="1"/>
    <col min="4" max="4" width="9.33203125" customWidth="1"/>
    <col min="5" max="14" width="10.5" customWidth="1"/>
  </cols>
  <sheetData>
    <row r="1" spans="2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x14ac:dyDescent="0.2">
      <c r="B2">
        <v>2</v>
      </c>
      <c r="C2">
        <v>1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94</v>
      </c>
    </row>
    <row r="3" spans="2:14" x14ac:dyDescent="0.2">
      <c r="B3">
        <v>2</v>
      </c>
      <c r="C3">
        <v>2</v>
      </c>
      <c r="D3" s="1">
        <v>3</v>
      </c>
      <c r="E3" s="1">
        <v>3</v>
      </c>
      <c r="F3" s="1">
        <v>3</v>
      </c>
      <c r="G3" s="1">
        <v>3</v>
      </c>
      <c r="H3" s="1">
        <v>3</v>
      </c>
      <c r="I3" s="1">
        <v>3</v>
      </c>
      <c r="J3" s="1">
        <v>3</v>
      </c>
      <c r="K3" s="1">
        <v>3</v>
      </c>
      <c r="L3" s="1">
        <v>3</v>
      </c>
      <c r="M3" s="1">
        <v>3</v>
      </c>
      <c r="N3">
        <v>94</v>
      </c>
    </row>
    <row r="4" spans="2:14" x14ac:dyDescent="0.2">
      <c r="B4">
        <v>2</v>
      </c>
      <c r="C4">
        <v>3</v>
      </c>
      <c r="D4" s="1">
        <v>3</v>
      </c>
      <c r="E4" s="1">
        <v>3</v>
      </c>
      <c r="F4" s="1">
        <v>3</v>
      </c>
      <c r="G4" s="1">
        <v>3</v>
      </c>
      <c r="H4" s="1">
        <v>3</v>
      </c>
      <c r="I4" s="1">
        <v>3</v>
      </c>
      <c r="J4" s="1">
        <v>3</v>
      </c>
      <c r="K4" s="1">
        <v>3</v>
      </c>
      <c r="L4" s="1">
        <v>3</v>
      </c>
      <c r="M4" s="1">
        <v>3</v>
      </c>
      <c r="N4">
        <v>94</v>
      </c>
    </row>
    <row r="5" spans="2:14" x14ac:dyDescent="0.2">
      <c r="B5">
        <v>2</v>
      </c>
      <c r="C5">
        <v>4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  <c r="J5" s="1">
        <v>3</v>
      </c>
      <c r="K5" s="1">
        <v>3</v>
      </c>
      <c r="L5" s="1">
        <v>3</v>
      </c>
      <c r="M5" s="1">
        <v>3</v>
      </c>
      <c r="N5">
        <v>94</v>
      </c>
    </row>
    <row r="6" spans="2:14" x14ac:dyDescent="0.2">
      <c r="B6">
        <v>10</v>
      </c>
      <c r="C6">
        <v>1</v>
      </c>
      <c r="D6" s="1">
        <v>3</v>
      </c>
      <c r="E6" s="1">
        <v>3</v>
      </c>
      <c r="F6">
        <v>1</v>
      </c>
      <c r="G6">
        <v>1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>
        <v>2</v>
      </c>
      <c r="N6">
        <v>82</v>
      </c>
    </row>
    <row r="7" spans="2:14" x14ac:dyDescent="0.2">
      <c r="B7">
        <v>10</v>
      </c>
      <c r="C7">
        <v>2</v>
      </c>
      <c r="D7" s="1">
        <v>3</v>
      </c>
      <c r="E7" s="1">
        <v>3</v>
      </c>
      <c r="F7" s="1">
        <v>1</v>
      </c>
      <c r="G7" s="1">
        <v>1</v>
      </c>
      <c r="H7" s="1">
        <v>3</v>
      </c>
      <c r="I7" s="1">
        <v>3</v>
      </c>
      <c r="J7" s="1">
        <v>3</v>
      </c>
      <c r="K7" s="1">
        <v>3</v>
      </c>
      <c r="L7" s="1">
        <v>3</v>
      </c>
      <c r="M7" s="1">
        <v>2</v>
      </c>
      <c r="N7">
        <v>82</v>
      </c>
    </row>
    <row r="8" spans="2:14" x14ac:dyDescent="0.2">
      <c r="B8">
        <v>10</v>
      </c>
      <c r="C8">
        <v>3</v>
      </c>
      <c r="D8" s="1">
        <v>3</v>
      </c>
      <c r="E8" s="1">
        <v>3</v>
      </c>
      <c r="F8" s="1">
        <v>1</v>
      </c>
      <c r="G8" s="1">
        <v>1</v>
      </c>
      <c r="H8" s="1">
        <v>3</v>
      </c>
      <c r="I8" s="1">
        <v>3</v>
      </c>
      <c r="J8" s="1">
        <v>3</v>
      </c>
      <c r="K8" s="1">
        <v>3</v>
      </c>
      <c r="L8" s="1">
        <v>3</v>
      </c>
      <c r="M8" s="1">
        <v>2</v>
      </c>
      <c r="N8">
        <v>82</v>
      </c>
    </row>
    <row r="9" spans="2:14" x14ac:dyDescent="0.2">
      <c r="B9">
        <v>10</v>
      </c>
      <c r="C9">
        <v>4</v>
      </c>
      <c r="D9" s="1">
        <v>3</v>
      </c>
      <c r="E9" s="1">
        <v>3</v>
      </c>
      <c r="F9" s="1">
        <v>1</v>
      </c>
      <c r="G9" s="1">
        <v>1</v>
      </c>
      <c r="H9" s="1">
        <v>3</v>
      </c>
      <c r="I9" s="1">
        <v>3</v>
      </c>
      <c r="J9" s="1">
        <v>3</v>
      </c>
      <c r="K9" s="1">
        <v>3</v>
      </c>
      <c r="L9" s="1">
        <v>3</v>
      </c>
      <c r="M9" s="1">
        <v>2</v>
      </c>
      <c r="N9">
        <v>82</v>
      </c>
    </row>
    <row r="10" spans="2:14" x14ac:dyDescent="0.2">
      <c r="B10">
        <v>3</v>
      </c>
      <c r="C10">
        <v>1</v>
      </c>
      <c r="D10" s="1">
        <v>3</v>
      </c>
      <c r="E10" s="1">
        <v>3</v>
      </c>
      <c r="F10">
        <v>3</v>
      </c>
      <c r="G10">
        <v>3</v>
      </c>
      <c r="H10" s="1">
        <v>3</v>
      </c>
      <c r="I10" s="1">
        <v>3</v>
      </c>
      <c r="J10" s="1">
        <v>3</v>
      </c>
      <c r="K10" s="1">
        <v>3</v>
      </c>
      <c r="L10" s="1">
        <v>3</v>
      </c>
      <c r="M10">
        <v>3</v>
      </c>
      <c r="N10">
        <v>96</v>
      </c>
    </row>
    <row r="11" spans="2:14" x14ac:dyDescent="0.2">
      <c r="B11">
        <v>3</v>
      </c>
      <c r="C11">
        <v>2</v>
      </c>
      <c r="D11" s="1">
        <v>3</v>
      </c>
      <c r="E11" s="1">
        <v>3</v>
      </c>
      <c r="F11" s="1">
        <v>3</v>
      </c>
      <c r="G11" s="1">
        <v>3</v>
      </c>
      <c r="H11" s="1">
        <v>3</v>
      </c>
      <c r="I11" s="1">
        <v>3</v>
      </c>
      <c r="J11" s="1">
        <v>3</v>
      </c>
      <c r="K11" s="1">
        <v>3</v>
      </c>
      <c r="L11" s="1">
        <v>3</v>
      </c>
      <c r="M11" s="1">
        <v>3</v>
      </c>
      <c r="N11">
        <v>96</v>
      </c>
    </row>
    <row r="12" spans="2:14" x14ac:dyDescent="0.2">
      <c r="B12">
        <v>3</v>
      </c>
      <c r="C12">
        <v>3</v>
      </c>
      <c r="D12" s="1">
        <v>3</v>
      </c>
      <c r="E12" s="1">
        <v>3</v>
      </c>
      <c r="F12" s="1">
        <v>3</v>
      </c>
      <c r="G12" s="1">
        <v>3</v>
      </c>
      <c r="H12" s="1">
        <v>3</v>
      </c>
      <c r="I12" s="1">
        <v>3</v>
      </c>
      <c r="J12" s="1">
        <v>3</v>
      </c>
      <c r="K12" s="1">
        <v>3</v>
      </c>
      <c r="L12" s="1">
        <v>3</v>
      </c>
      <c r="M12" s="1">
        <v>3</v>
      </c>
      <c r="N12">
        <v>96</v>
      </c>
    </row>
    <row r="13" spans="2:14" x14ac:dyDescent="0.2">
      <c r="B13">
        <v>3</v>
      </c>
      <c r="C13">
        <v>4</v>
      </c>
      <c r="D13" s="1">
        <v>3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  <c r="J13" s="1">
        <v>3</v>
      </c>
      <c r="K13" s="1">
        <v>3</v>
      </c>
      <c r="L13" s="1">
        <v>3</v>
      </c>
      <c r="M13" s="1">
        <v>3</v>
      </c>
      <c r="N13">
        <v>96</v>
      </c>
    </row>
    <row r="14" spans="2:14" x14ac:dyDescent="0.2">
      <c r="B14">
        <v>14</v>
      </c>
      <c r="C14">
        <v>1</v>
      </c>
      <c r="D14" s="1">
        <v>3</v>
      </c>
      <c r="E14" s="1">
        <v>3</v>
      </c>
      <c r="F14" s="1">
        <v>3</v>
      </c>
      <c r="G14" s="1">
        <v>3</v>
      </c>
      <c r="H14" s="1">
        <v>3</v>
      </c>
      <c r="I14" s="1">
        <v>3</v>
      </c>
      <c r="J14" s="1">
        <v>3</v>
      </c>
      <c r="K14" s="1">
        <v>3</v>
      </c>
      <c r="L14" s="1">
        <v>3</v>
      </c>
      <c r="M14" s="1">
        <v>3</v>
      </c>
      <c r="N14">
        <v>98</v>
      </c>
    </row>
    <row r="15" spans="2:14" x14ac:dyDescent="0.2">
      <c r="B15">
        <v>14</v>
      </c>
      <c r="C15">
        <v>2</v>
      </c>
      <c r="D15" s="1">
        <v>3</v>
      </c>
      <c r="E15" s="1">
        <v>3</v>
      </c>
      <c r="F15" s="1">
        <v>3</v>
      </c>
      <c r="G15" s="1">
        <v>3</v>
      </c>
      <c r="H15" s="1">
        <v>3</v>
      </c>
      <c r="I15" s="1">
        <v>3</v>
      </c>
      <c r="J15" s="1">
        <v>3</v>
      </c>
      <c r="K15" s="1">
        <v>3</v>
      </c>
      <c r="L15" s="1">
        <v>3</v>
      </c>
      <c r="M15" s="1">
        <v>3</v>
      </c>
      <c r="N15">
        <v>98</v>
      </c>
    </row>
    <row r="16" spans="2:14" x14ac:dyDescent="0.2">
      <c r="B16">
        <v>14</v>
      </c>
      <c r="C16">
        <v>3</v>
      </c>
      <c r="D16" s="1">
        <v>3</v>
      </c>
      <c r="E16" s="1">
        <v>3</v>
      </c>
      <c r="F16" s="1">
        <v>3</v>
      </c>
      <c r="G16" s="1">
        <v>3</v>
      </c>
      <c r="H16" s="1">
        <v>3</v>
      </c>
      <c r="I16" s="1">
        <v>3</v>
      </c>
      <c r="J16" s="1">
        <v>3</v>
      </c>
      <c r="K16" s="1">
        <v>3</v>
      </c>
      <c r="L16" s="1">
        <v>3</v>
      </c>
      <c r="M16" s="1">
        <v>3</v>
      </c>
      <c r="N16">
        <v>98</v>
      </c>
    </row>
    <row r="17" spans="2:14" x14ac:dyDescent="0.2">
      <c r="B17">
        <v>14</v>
      </c>
      <c r="C17">
        <v>4</v>
      </c>
      <c r="D17" s="1">
        <v>3</v>
      </c>
      <c r="E17" s="1">
        <v>3</v>
      </c>
      <c r="F17" s="1">
        <v>3</v>
      </c>
      <c r="G17" s="1">
        <v>3</v>
      </c>
      <c r="H17" s="1">
        <v>3</v>
      </c>
      <c r="I17" s="1">
        <v>3</v>
      </c>
      <c r="J17" s="1">
        <v>3</v>
      </c>
      <c r="K17" s="1">
        <v>3</v>
      </c>
      <c r="L17" s="1">
        <v>3</v>
      </c>
      <c r="M17" s="1">
        <v>3</v>
      </c>
      <c r="N17">
        <v>98</v>
      </c>
    </row>
    <row r="18" spans="2:14" x14ac:dyDescent="0.2">
      <c r="B18">
        <v>14</v>
      </c>
      <c r="C18">
        <v>5</v>
      </c>
      <c r="D18" s="1">
        <v>3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  <c r="J18" s="1">
        <v>3</v>
      </c>
      <c r="K18" s="1">
        <v>3</v>
      </c>
      <c r="L18" s="1">
        <v>3</v>
      </c>
      <c r="M18" s="1">
        <v>3</v>
      </c>
      <c r="N18">
        <v>98</v>
      </c>
    </row>
    <row r="19" spans="2:14" x14ac:dyDescent="0.2">
      <c r="B19">
        <v>5</v>
      </c>
      <c r="C19">
        <v>1</v>
      </c>
      <c r="D19" s="1">
        <v>3</v>
      </c>
      <c r="E19" s="1">
        <v>3</v>
      </c>
      <c r="F19" s="1">
        <v>3</v>
      </c>
      <c r="G19" s="1">
        <v>3</v>
      </c>
      <c r="H19" s="1">
        <v>3</v>
      </c>
      <c r="I19" s="1">
        <v>3</v>
      </c>
      <c r="J19" s="1">
        <v>3</v>
      </c>
      <c r="K19" s="1">
        <v>3</v>
      </c>
      <c r="L19" s="1">
        <v>3</v>
      </c>
      <c r="M19" s="1">
        <v>3</v>
      </c>
      <c r="N19">
        <v>100</v>
      </c>
    </row>
    <row r="20" spans="2:14" x14ac:dyDescent="0.2">
      <c r="B20">
        <v>5</v>
      </c>
      <c r="C20">
        <v>2</v>
      </c>
      <c r="D20" s="1">
        <v>3</v>
      </c>
      <c r="E20" s="1">
        <v>3</v>
      </c>
      <c r="F20" s="1">
        <v>3</v>
      </c>
      <c r="G20" s="1">
        <v>3</v>
      </c>
      <c r="H20" s="1">
        <v>3</v>
      </c>
      <c r="I20" s="1">
        <v>3</v>
      </c>
      <c r="J20" s="1">
        <v>3</v>
      </c>
      <c r="K20" s="1">
        <v>3</v>
      </c>
      <c r="L20" s="1">
        <v>3</v>
      </c>
      <c r="M20" s="1">
        <v>3</v>
      </c>
      <c r="N20">
        <v>100</v>
      </c>
    </row>
    <row r="21" spans="2:14" x14ac:dyDescent="0.2">
      <c r="B21">
        <v>5</v>
      </c>
      <c r="C21">
        <v>3</v>
      </c>
      <c r="D21" s="1">
        <v>3</v>
      </c>
      <c r="E21" s="1">
        <v>3</v>
      </c>
      <c r="F21" s="1">
        <v>3</v>
      </c>
      <c r="G21" s="1">
        <v>3</v>
      </c>
      <c r="H21" s="1">
        <v>3</v>
      </c>
      <c r="I21" s="1">
        <v>3</v>
      </c>
      <c r="J21" s="1">
        <v>3</v>
      </c>
      <c r="K21" s="1">
        <v>3</v>
      </c>
      <c r="L21" s="1">
        <v>3</v>
      </c>
      <c r="M21" s="1">
        <v>3</v>
      </c>
      <c r="N21">
        <v>100</v>
      </c>
    </row>
    <row r="22" spans="2:14" x14ac:dyDescent="0.2">
      <c r="B22">
        <v>5</v>
      </c>
      <c r="C22">
        <v>4</v>
      </c>
      <c r="D22" s="1">
        <v>3</v>
      </c>
      <c r="E22" s="1">
        <v>3</v>
      </c>
      <c r="F22" s="1">
        <v>3</v>
      </c>
      <c r="G22" s="1">
        <v>3</v>
      </c>
      <c r="H22" s="1">
        <v>3</v>
      </c>
      <c r="I22" s="1">
        <v>3</v>
      </c>
      <c r="J22" s="1">
        <v>3</v>
      </c>
      <c r="K22" s="1">
        <v>3</v>
      </c>
      <c r="L22" s="1">
        <v>3</v>
      </c>
      <c r="M22" s="1">
        <v>3</v>
      </c>
      <c r="N22">
        <v>100</v>
      </c>
    </row>
    <row r="23" spans="2:14" x14ac:dyDescent="0.2">
      <c r="B23">
        <v>11</v>
      </c>
      <c r="C23">
        <v>1</v>
      </c>
      <c r="D23" s="1">
        <v>3</v>
      </c>
      <c r="E23" s="1">
        <v>3</v>
      </c>
      <c r="F23">
        <v>1</v>
      </c>
      <c r="G23" s="1">
        <v>3</v>
      </c>
      <c r="H23" s="1">
        <v>3</v>
      </c>
      <c r="I23" s="1">
        <v>3</v>
      </c>
      <c r="J23" s="1">
        <v>3</v>
      </c>
      <c r="K23" s="1">
        <v>3</v>
      </c>
      <c r="L23" s="1">
        <v>3</v>
      </c>
      <c r="M23" s="1">
        <v>3</v>
      </c>
      <c r="N23">
        <v>90</v>
      </c>
    </row>
    <row r="24" spans="2:14" x14ac:dyDescent="0.2">
      <c r="B24">
        <v>11</v>
      </c>
      <c r="C24">
        <v>2</v>
      </c>
      <c r="D24" s="1">
        <v>3</v>
      </c>
      <c r="E24" s="1">
        <v>3</v>
      </c>
      <c r="F24" s="1">
        <v>1</v>
      </c>
      <c r="G24" s="1">
        <v>3</v>
      </c>
      <c r="H24" s="1">
        <v>3</v>
      </c>
      <c r="I24" s="1">
        <v>3</v>
      </c>
      <c r="J24" s="1">
        <v>3</v>
      </c>
      <c r="K24" s="1">
        <v>3</v>
      </c>
      <c r="L24" s="1">
        <v>3</v>
      </c>
      <c r="M24" s="1">
        <v>3</v>
      </c>
      <c r="N24">
        <v>90</v>
      </c>
    </row>
    <row r="25" spans="2:14" x14ac:dyDescent="0.2">
      <c r="B25">
        <v>11</v>
      </c>
      <c r="C25">
        <v>3</v>
      </c>
      <c r="D25" s="1">
        <v>3</v>
      </c>
      <c r="E25" s="1">
        <v>3</v>
      </c>
      <c r="F25" s="1">
        <v>1</v>
      </c>
      <c r="G25" s="1">
        <v>3</v>
      </c>
      <c r="H25" s="1">
        <v>3</v>
      </c>
      <c r="I25" s="1">
        <v>3</v>
      </c>
      <c r="J25" s="1">
        <v>3</v>
      </c>
      <c r="K25" s="1">
        <v>3</v>
      </c>
      <c r="L25" s="1">
        <v>3</v>
      </c>
      <c r="M25" s="1">
        <v>3</v>
      </c>
      <c r="N25">
        <v>90</v>
      </c>
    </row>
    <row r="26" spans="2:14" x14ac:dyDescent="0.2">
      <c r="B26">
        <v>11</v>
      </c>
      <c r="C26">
        <v>4</v>
      </c>
      <c r="D26" s="1">
        <v>3</v>
      </c>
      <c r="E26" s="1">
        <v>3</v>
      </c>
      <c r="F26" s="1">
        <v>1</v>
      </c>
      <c r="G26" s="1">
        <v>3</v>
      </c>
      <c r="H26" s="1">
        <v>3</v>
      </c>
      <c r="I26" s="1">
        <v>3</v>
      </c>
      <c r="J26" s="1">
        <v>3</v>
      </c>
      <c r="K26" s="1">
        <v>3</v>
      </c>
      <c r="L26" s="1">
        <v>3</v>
      </c>
      <c r="M26" s="1">
        <v>3</v>
      </c>
      <c r="N26">
        <v>90</v>
      </c>
    </row>
    <row r="27" spans="2:14" x14ac:dyDescent="0.2">
      <c r="B27">
        <v>4</v>
      </c>
      <c r="C27">
        <v>1</v>
      </c>
      <c r="D27" s="1">
        <v>3</v>
      </c>
      <c r="E27" s="1">
        <v>3</v>
      </c>
      <c r="F27">
        <v>3</v>
      </c>
      <c r="G27" s="1">
        <v>3</v>
      </c>
      <c r="H27" s="1">
        <v>3</v>
      </c>
      <c r="I27" s="1">
        <v>3</v>
      </c>
      <c r="J27" s="1">
        <v>3</v>
      </c>
      <c r="K27" s="1">
        <v>3</v>
      </c>
      <c r="L27" s="1">
        <v>3</v>
      </c>
      <c r="M27" s="1">
        <v>3</v>
      </c>
      <c r="N27">
        <v>94</v>
      </c>
    </row>
    <row r="28" spans="2:14" x14ac:dyDescent="0.2">
      <c r="B28">
        <v>4</v>
      </c>
      <c r="C28">
        <v>2</v>
      </c>
      <c r="D28" s="1">
        <v>3</v>
      </c>
      <c r="E28" s="1">
        <v>3</v>
      </c>
      <c r="F28" s="1">
        <v>3</v>
      </c>
      <c r="G28" s="1">
        <v>3</v>
      </c>
      <c r="H28" s="1">
        <v>3</v>
      </c>
      <c r="I28" s="1">
        <v>3</v>
      </c>
      <c r="J28" s="1">
        <v>3</v>
      </c>
      <c r="K28" s="1">
        <v>3</v>
      </c>
      <c r="L28" s="1">
        <v>3</v>
      </c>
      <c r="M28" s="1">
        <v>3</v>
      </c>
      <c r="N28">
        <v>94</v>
      </c>
    </row>
    <row r="29" spans="2:14" x14ac:dyDescent="0.2">
      <c r="B29">
        <v>4</v>
      </c>
      <c r="C29">
        <v>3</v>
      </c>
      <c r="D29" s="1">
        <v>3</v>
      </c>
      <c r="E29" s="1">
        <v>3</v>
      </c>
      <c r="F29" s="1">
        <v>3</v>
      </c>
      <c r="G29" s="1">
        <v>3</v>
      </c>
      <c r="H29" s="1">
        <v>3</v>
      </c>
      <c r="I29" s="1">
        <v>3</v>
      </c>
      <c r="J29" s="1">
        <v>3</v>
      </c>
      <c r="K29" s="1">
        <v>3</v>
      </c>
      <c r="L29" s="1">
        <v>3</v>
      </c>
      <c r="M29" s="1">
        <v>3</v>
      </c>
      <c r="N29">
        <v>94</v>
      </c>
    </row>
    <row r="30" spans="2:14" x14ac:dyDescent="0.2">
      <c r="B30">
        <v>4</v>
      </c>
      <c r="C30">
        <v>4</v>
      </c>
      <c r="D30" s="1">
        <v>3</v>
      </c>
      <c r="E30" s="1">
        <v>3</v>
      </c>
      <c r="F30" s="1">
        <v>3</v>
      </c>
      <c r="G30" s="1">
        <v>3</v>
      </c>
      <c r="H30" s="1">
        <v>3</v>
      </c>
      <c r="I30" s="1">
        <v>3</v>
      </c>
      <c r="J30" s="1">
        <v>3</v>
      </c>
      <c r="K30" s="1">
        <v>3</v>
      </c>
      <c r="L30" s="1">
        <v>3</v>
      </c>
      <c r="M30" s="1">
        <v>3</v>
      </c>
      <c r="N30">
        <v>94</v>
      </c>
    </row>
    <row r="31" spans="2:14" x14ac:dyDescent="0.2">
      <c r="B31">
        <v>8</v>
      </c>
      <c r="C31">
        <v>1</v>
      </c>
      <c r="D31" s="1">
        <v>3</v>
      </c>
      <c r="E31" s="1">
        <v>3</v>
      </c>
      <c r="F31" s="1">
        <v>3</v>
      </c>
      <c r="G31" s="1">
        <v>3</v>
      </c>
      <c r="H31" s="1">
        <v>3</v>
      </c>
      <c r="I31" s="1">
        <v>3</v>
      </c>
      <c r="J31" s="1">
        <v>3</v>
      </c>
      <c r="K31" s="1">
        <v>3</v>
      </c>
      <c r="L31" s="1">
        <v>3</v>
      </c>
      <c r="M31" s="1">
        <v>3</v>
      </c>
      <c r="N31">
        <v>98</v>
      </c>
    </row>
    <row r="32" spans="2:14" x14ac:dyDescent="0.2">
      <c r="B32">
        <v>8</v>
      </c>
      <c r="C32">
        <v>2</v>
      </c>
      <c r="D32" s="1">
        <v>3</v>
      </c>
      <c r="E32" s="1">
        <v>3</v>
      </c>
      <c r="F32" s="1">
        <v>3</v>
      </c>
      <c r="G32" s="1">
        <v>3</v>
      </c>
      <c r="H32" s="1">
        <v>3</v>
      </c>
      <c r="I32" s="1">
        <v>3</v>
      </c>
      <c r="J32" s="1">
        <v>3</v>
      </c>
      <c r="K32" s="1">
        <v>3</v>
      </c>
      <c r="L32" s="1">
        <v>3</v>
      </c>
      <c r="M32" s="1">
        <v>3</v>
      </c>
      <c r="N32">
        <v>98</v>
      </c>
    </row>
    <row r="33" spans="2:14" x14ac:dyDescent="0.2">
      <c r="B33">
        <v>8</v>
      </c>
      <c r="C33">
        <v>3</v>
      </c>
      <c r="D33" s="1">
        <v>3</v>
      </c>
      <c r="E33" s="1">
        <v>3</v>
      </c>
      <c r="F33" s="1">
        <v>3</v>
      </c>
      <c r="G33" s="1">
        <v>3</v>
      </c>
      <c r="H33" s="1">
        <v>3</v>
      </c>
      <c r="I33" s="1">
        <v>3</v>
      </c>
      <c r="J33" s="1">
        <v>3</v>
      </c>
      <c r="K33" s="1">
        <v>3</v>
      </c>
      <c r="L33" s="1">
        <v>3</v>
      </c>
      <c r="M33" s="1">
        <v>3</v>
      </c>
      <c r="N33">
        <v>98</v>
      </c>
    </row>
    <row r="34" spans="2:14" x14ac:dyDescent="0.2">
      <c r="B34">
        <v>8</v>
      </c>
      <c r="C34">
        <v>4</v>
      </c>
      <c r="D34" s="1">
        <v>3</v>
      </c>
      <c r="E34" s="1">
        <v>3</v>
      </c>
      <c r="F34" s="1">
        <v>3</v>
      </c>
      <c r="G34" s="1">
        <v>3</v>
      </c>
      <c r="H34" s="1">
        <v>3</v>
      </c>
      <c r="I34" s="1">
        <v>3</v>
      </c>
      <c r="J34" s="1">
        <v>3</v>
      </c>
      <c r="K34" s="1">
        <v>3</v>
      </c>
      <c r="L34" s="1">
        <v>3</v>
      </c>
      <c r="M34" s="1">
        <v>3</v>
      </c>
      <c r="N34">
        <v>98</v>
      </c>
    </row>
    <row r="35" spans="2:14" x14ac:dyDescent="0.2">
      <c r="B35">
        <v>8</v>
      </c>
      <c r="C35">
        <v>5</v>
      </c>
      <c r="D35" s="1">
        <v>3</v>
      </c>
      <c r="E35" s="1">
        <v>3</v>
      </c>
      <c r="F35" s="1">
        <v>3</v>
      </c>
      <c r="G35" s="1">
        <v>3</v>
      </c>
      <c r="H35" s="1">
        <v>3</v>
      </c>
      <c r="I35" s="1">
        <v>3</v>
      </c>
      <c r="J35" s="1">
        <v>3</v>
      </c>
      <c r="K35" s="1">
        <v>3</v>
      </c>
      <c r="L35" s="1">
        <v>3</v>
      </c>
      <c r="M35" s="1">
        <v>3</v>
      </c>
      <c r="N35">
        <v>98</v>
      </c>
    </row>
    <row r="36" spans="2:14" x14ac:dyDescent="0.2">
      <c r="B36">
        <v>7</v>
      </c>
      <c r="C36">
        <v>1</v>
      </c>
      <c r="D36" s="1">
        <v>3</v>
      </c>
      <c r="E36" s="1">
        <v>3</v>
      </c>
      <c r="F36" s="1">
        <v>3</v>
      </c>
      <c r="G36">
        <v>2</v>
      </c>
      <c r="H36" s="1">
        <v>3</v>
      </c>
      <c r="I36" s="1">
        <v>3</v>
      </c>
      <c r="J36" s="1">
        <v>3</v>
      </c>
      <c r="K36" s="1">
        <v>3</v>
      </c>
      <c r="L36" s="1">
        <v>3</v>
      </c>
      <c r="M36">
        <v>2</v>
      </c>
      <c r="N36">
        <v>90</v>
      </c>
    </row>
    <row r="37" spans="2:14" x14ac:dyDescent="0.2">
      <c r="B37">
        <v>7</v>
      </c>
      <c r="C37">
        <v>2</v>
      </c>
      <c r="D37" s="1">
        <v>3</v>
      </c>
      <c r="E37" s="1">
        <v>3</v>
      </c>
      <c r="F37" s="1">
        <v>3</v>
      </c>
      <c r="G37" s="1">
        <v>2</v>
      </c>
      <c r="H37" s="1">
        <v>3</v>
      </c>
      <c r="I37" s="1">
        <v>3</v>
      </c>
      <c r="J37" s="1">
        <v>3</v>
      </c>
      <c r="K37" s="1">
        <v>3</v>
      </c>
      <c r="L37" s="1">
        <v>3</v>
      </c>
      <c r="M37" s="1">
        <v>2</v>
      </c>
      <c r="N37">
        <v>90</v>
      </c>
    </row>
    <row r="38" spans="2:14" x14ac:dyDescent="0.2">
      <c r="B38">
        <v>7</v>
      </c>
      <c r="C38">
        <v>3</v>
      </c>
      <c r="D38" s="1">
        <v>3</v>
      </c>
      <c r="E38" s="1">
        <v>3</v>
      </c>
      <c r="F38" s="1">
        <v>3</v>
      </c>
      <c r="G38" s="1">
        <v>2</v>
      </c>
      <c r="H38" s="1">
        <v>3</v>
      </c>
      <c r="I38" s="1">
        <v>3</v>
      </c>
      <c r="J38" s="1">
        <v>3</v>
      </c>
      <c r="K38" s="1">
        <v>3</v>
      </c>
      <c r="L38" s="1">
        <v>3</v>
      </c>
      <c r="M38" s="1">
        <v>2</v>
      </c>
      <c r="N38">
        <v>90</v>
      </c>
    </row>
    <row r="39" spans="2:14" x14ac:dyDescent="0.2">
      <c r="B39">
        <v>7</v>
      </c>
      <c r="C39">
        <v>4</v>
      </c>
      <c r="D39" s="1">
        <v>3</v>
      </c>
      <c r="E39" s="1">
        <v>3</v>
      </c>
      <c r="F39" s="1">
        <v>3</v>
      </c>
      <c r="G39" s="1">
        <v>2</v>
      </c>
      <c r="H39" s="1">
        <v>3</v>
      </c>
      <c r="I39" s="1">
        <v>3</v>
      </c>
      <c r="J39" s="1">
        <v>3</v>
      </c>
      <c r="K39" s="1">
        <v>3</v>
      </c>
      <c r="L39" s="1">
        <v>3</v>
      </c>
      <c r="M39" s="1">
        <v>2</v>
      </c>
      <c r="N39">
        <v>90</v>
      </c>
    </row>
    <row r="40" spans="2:14" x14ac:dyDescent="0.2">
      <c r="B40">
        <v>7</v>
      </c>
      <c r="C40">
        <v>5</v>
      </c>
      <c r="D40" s="1">
        <v>3</v>
      </c>
      <c r="E40" s="1">
        <v>3</v>
      </c>
      <c r="F40" s="1">
        <v>3</v>
      </c>
      <c r="G40" s="1">
        <v>2</v>
      </c>
      <c r="H40" s="1">
        <v>3</v>
      </c>
      <c r="I40" s="1">
        <v>3</v>
      </c>
      <c r="J40" s="1">
        <v>3</v>
      </c>
      <c r="K40" s="1">
        <v>3</v>
      </c>
      <c r="L40" s="1">
        <v>3</v>
      </c>
      <c r="M40" s="1">
        <v>2</v>
      </c>
      <c r="N40">
        <v>90</v>
      </c>
    </row>
    <row r="41" spans="2:14" x14ac:dyDescent="0.2">
      <c r="B41">
        <v>1</v>
      </c>
      <c r="C41">
        <v>1</v>
      </c>
      <c r="D41" s="1">
        <v>3</v>
      </c>
      <c r="E41" s="1">
        <v>3</v>
      </c>
      <c r="F41" s="1">
        <v>3</v>
      </c>
      <c r="G41">
        <v>3</v>
      </c>
      <c r="H41" s="1">
        <v>3</v>
      </c>
      <c r="I41" s="1">
        <v>3</v>
      </c>
      <c r="J41" s="1">
        <v>3</v>
      </c>
      <c r="K41" s="1">
        <v>3</v>
      </c>
      <c r="L41" s="1">
        <v>3</v>
      </c>
      <c r="M41">
        <v>3</v>
      </c>
      <c r="N41">
        <v>94</v>
      </c>
    </row>
    <row r="42" spans="2:14" x14ac:dyDescent="0.2">
      <c r="B42">
        <v>1</v>
      </c>
      <c r="C42">
        <v>2</v>
      </c>
      <c r="D42" s="1">
        <v>3</v>
      </c>
      <c r="E42" s="1">
        <v>3</v>
      </c>
      <c r="F42" s="1">
        <v>3</v>
      </c>
      <c r="G42" s="1">
        <v>3</v>
      </c>
      <c r="H42" s="1">
        <v>3</v>
      </c>
      <c r="I42" s="1">
        <v>3</v>
      </c>
      <c r="J42" s="1">
        <v>3</v>
      </c>
      <c r="K42" s="1">
        <v>3</v>
      </c>
      <c r="L42" s="1">
        <v>3</v>
      </c>
      <c r="M42" s="1">
        <v>3</v>
      </c>
      <c r="N42">
        <v>94</v>
      </c>
    </row>
    <row r="43" spans="2:14" x14ac:dyDescent="0.2">
      <c r="B43">
        <v>1</v>
      </c>
      <c r="C43">
        <v>3</v>
      </c>
      <c r="D43" s="1">
        <v>3</v>
      </c>
      <c r="E43" s="1">
        <v>3</v>
      </c>
      <c r="F43" s="1">
        <v>3</v>
      </c>
      <c r="G43" s="1">
        <v>3</v>
      </c>
      <c r="H43" s="1">
        <v>3</v>
      </c>
      <c r="I43" s="1">
        <v>3</v>
      </c>
      <c r="J43" s="1">
        <v>3</v>
      </c>
      <c r="K43" s="1">
        <v>3</v>
      </c>
      <c r="L43" s="1">
        <v>3</v>
      </c>
      <c r="M43" s="1">
        <v>3</v>
      </c>
      <c r="N43">
        <v>94</v>
      </c>
    </row>
    <row r="44" spans="2:14" x14ac:dyDescent="0.2">
      <c r="B44">
        <v>1</v>
      </c>
      <c r="C44">
        <v>4</v>
      </c>
      <c r="D44" s="1">
        <v>3</v>
      </c>
      <c r="E44" s="1">
        <v>3</v>
      </c>
      <c r="F44" s="1">
        <v>3</v>
      </c>
      <c r="G44" s="1">
        <v>3</v>
      </c>
      <c r="H44" s="1">
        <v>3</v>
      </c>
      <c r="I44" s="1">
        <v>3</v>
      </c>
      <c r="J44" s="1">
        <v>3</v>
      </c>
      <c r="K44" s="1">
        <v>3</v>
      </c>
      <c r="L44" s="1">
        <v>3</v>
      </c>
      <c r="M44" s="1">
        <v>3</v>
      </c>
      <c r="N44">
        <v>94</v>
      </c>
    </row>
    <row r="45" spans="2:14" x14ac:dyDescent="0.2">
      <c r="B45">
        <v>13</v>
      </c>
      <c r="C45">
        <v>1</v>
      </c>
      <c r="D45" s="1">
        <v>3</v>
      </c>
      <c r="E45" s="1">
        <v>3</v>
      </c>
      <c r="F45" s="1">
        <v>3</v>
      </c>
      <c r="G45" s="1">
        <v>3</v>
      </c>
      <c r="H45" s="1">
        <v>3</v>
      </c>
      <c r="I45" s="1">
        <v>3</v>
      </c>
      <c r="J45" s="1">
        <v>3</v>
      </c>
      <c r="K45" s="1">
        <v>3</v>
      </c>
      <c r="L45" s="1">
        <v>3</v>
      </c>
      <c r="M45" s="1">
        <v>3</v>
      </c>
      <c r="N45">
        <v>98</v>
      </c>
    </row>
    <row r="46" spans="2:14" x14ac:dyDescent="0.2">
      <c r="B46">
        <v>13</v>
      </c>
      <c r="C46">
        <v>2</v>
      </c>
      <c r="D46" s="1">
        <v>3</v>
      </c>
      <c r="E46" s="1">
        <v>3</v>
      </c>
      <c r="F46" s="1">
        <v>3</v>
      </c>
      <c r="G46" s="1">
        <v>3</v>
      </c>
      <c r="H46" s="1">
        <v>3</v>
      </c>
      <c r="I46" s="1">
        <v>3</v>
      </c>
      <c r="J46" s="1">
        <v>3</v>
      </c>
      <c r="K46" s="1">
        <v>3</v>
      </c>
      <c r="L46" s="1">
        <v>3</v>
      </c>
      <c r="M46" s="1">
        <v>3</v>
      </c>
      <c r="N46">
        <v>98</v>
      </c>
    </row>
    <row r="47" spans="2:14" x14ac:dyDescent="0.2">
      <c r="B47">
        <v>13</v>
      </c>
      <c r="C47">
        <v>3</v>
      </c>
      <c r="D47" s="1">
        <v>3</v>
      </c>
      <c r="E47" s="1">
        <v>3</v>
      </c>
      <c r="F47" s="1">
        <v>3</v>
      </c>
      <c r="G47" s="1">
        <v>3</v>
      </c>
      <c r="H47" s="1">
        <v>3</v>
      </c>
      <c r="I47" s="1">
        <v>3</v>
      </c>
      <c r="J47" s="1">
        <v>3</v>
      </c>
      <c r="K47" s="1">
        <v>3</v>
      </c>
      <c r="L47" s="1">
        <v>3</v>
      </c>
      <c r="M47" s="1">
        <v>3</v>
      </c>
      <c r="N47">
        <v>98</v>
      </c>
    </row>
    <row r="48" spans="2:14" x14ac:dyDescent="0.2">
      <c r="B48">
        <v>13</v>
      </c>
      <c r="C48">
        <v>4</v>
      </c>
      <c r="D48" s="1">
        <v>3</v>
      </c>
      <c r="E48" s="1">
        <v>3</v>
      </c>
      <c r="F48" s="1">
        <v>3</v>
      </c>
      <c r="G48" s="1">
        <v>3</v>
      </c>
      <c r="H48" s="1">
        <v>3</v>
      </c>
      <c r="I48" s="1">
        <v>3</v>
      </c>
      <c r="J48" s="1">
        <v>3</v>
      </c>
      <c r="K48" s="1">
        <v>3</v>
      </c>
      <c r="L48" s="1">
        <v>3</v>
      </c>
      <c r="M48" s="1">
        <v>3</v>
      </c>
      <c r="N48">
        <v>98</v>
      </c>
    </row>
    <row r="49" spans="2:14" x14ac:dyDescent="0.2">
      <c r="B49">
        <v>13</v>
      </c>
      <c r="C49">
        <v>5</v>
      </c>
      <c r="D49" s="1">
        <v>3</v>
      </c>
      <c r="E49" s="1">
        <v>3</v>
      </c>
      <c r="F49" s="1">
        <v>3</v>
      </c>
      <c r="G49" s="1">
        <v>3</v>
      </c>
      <c r="H49" s="1">
        <v>3</v>
      </c>
      <c r="I49" s="1">
        <v>3</v>
      </c>
      <c r="J49" s="1">
        <v>3</v>
      </c>
      <c r="K49" s="1">
        <v>3</v>
      </c>
      <c r="L49" s="1">
        <v>3</v>
      </c>
      <c r="M49" s="1">
        <v>3</v>
      </c>
      <c r="N49">
        <v>98</v>
      </c>
    </row>
    <row r="50" spans="2:14" x14ac:dyDescent="0.2">
      <c r="B50">
        <v>9</v>
      </c>
      <c r="C50">
        <v>1</v>
      </c>
      <c r="D50" s="1">
        <v>3</v>
      </c>
      <c r="E50" s="1">
        <v>3</v>
      </c>
      <c r="F50" s="1">
        <v>3</v>
      </c>
      <c r="G50">
        <v>1</v>
      </c>
      <c r="H50" s="1">
        <v>3</v>
      </c>
      <c r="I50" s="1">
        <v>3</v>
      </c>
      <c r="J50" s="1">
        <v>3</v>
      </c>
      <c r="K50" s="1">
        <v>3</v>
      </c>
      <c r="L50" s="1">
        <v>3</v>
      </c>
      <c r="M50" s="1">
        <v>3</v>
      </c>
      <c r="N50">
        <v>88</v>
      </c>
    </row>
    <row r="51" spans="2:14" x14ac:dyDescent="0.2">
      <c r="B51">
        <v>9</v>
      </c>
      <c r="C51">
        <v>2</v>
      </c>
      <c r="D51" s="1">
        <v>3</v>
      </c>
      <c r="E51" s="1">
        <v>3</v>
      </c>
      <c r="F51" s="1">
        <v>3</v>
      </c>
      <c r="G51" s="1">
        <v>1</v>
      </c>
      <c r="H51" s="1">
        <v>3</v>
      </c>
      <c r="I51" s="1">
        <v>3</v>
      </c>
      <c r="J51" s="1">
        <v>3</v>
      </c>
      <c r="K51" s="1">
        <v>3</v>
      </c>
      <c r="L51" s="1">
        <v>3</v>
      </c>
      <c r="M51" s="1">
        <v>3</v>
      </c>
      <c r="N51">
        <v>88</v>
      </c>
    </row>
    <row r="52" spans="2:14" x14ac:dyDescent="0.2">
      <c r="B52">
        <v>9</v>
      </c>
      <c r="C52">
        <v>3</v>
      </c>
      <c r="D52" s="1">
        <v>3</v>
      </c>
      <c r="E52" s="1">
        <v>3</v>
      </c>
      <c r="F52" s="1">
        <v>3</v>
      </c>
      <c r="G52" s="1">
        <v>1</v>
      </c>
      <c r="H52" s="1">
        <v>3</v>
      </c>
      <c r="I52" s="1">
        <v>3</v>
      </c>
      <c r="J52" s="1">
        <v>3</v>
      </c>
      <c r="K52" s="1">
        <v>3</v>
      </c>
      <c r="L52" s="1">
        <v>3</v>
      </c>
      <c r="M52" s="1">
        <v>3</v>
      </c>
      <c r="N52">
        <v>88</v>
      </c>
    </row>
    <row r="53" spans="2:14" x14ac:dyDescent="0.2">
      <c r="B53">
        <v>9</v>
      </c>
      <c r="C53">
        <v>4</v>
      </c>
      <c r="D53" s="1">
        <v>3</v>
      </c>
      <c r="E53" s="1">
        <v>3</v>
      </c>
      <c r="F53" s="1">
        <v>3</v>
      </c>
      <c r="G53" s="1">
        <v>1</v>
      </c>
      <c r="H53" s="1">
        <v>3</v>
      </c>
      <c r="I53" s="1">
        <v>3</v>
      </c>
      <c r="J53" s="1">
        <v>3</v>
      </c>
      <c r="K53" s="1">
        <v>3</v>
      </c>
      <c r="L53" s="1">
        <v>3</v>
      </c>
      <c r="M53" s="1">
        <v>3</v>
      </c>
      <c r="N53">
        <v>88</v>
      </c>
    </row>
    <row r="54" spans="2:14" x14ac:dyDescent="0.2">
      <c r="B54">
        <v>12</v>
      </c>
      <c r="C54">
        <v>1</v>
      </c>
      <c r="D54" s="1">
        <v>3</v>
      </c>
      <c r="E54" s="1">
        <v>3</v>
      </c>
      <c r="F54">
        <v>1</v>
      </c>
      <c r="G54">
        <v>3</v>
      </c>
      <c r="H54" s="1">
        <v>3</v>
      </c>
      <c r="I54" s="1">
        <v>3</v>
      </c>
      <c r="J54" s="1">
        <v>3</v>
      </c>
      <c r="K54" s="1">
        <v>3</v>
      </c>
      <c r="L54" s="1">
        <v>3</v>
      </c>
      <c r="M54">
        <v>1</v>
      </c>
      <c r="N54">
        <v>86</v>
      </c>
    </row>
    <row r="55" spans="2:14" x14ac:dyDescent="0.2">
      <c r="B55">
        <v>12</v>
      </c>
      <c r="C55">
        <v>2</v>
      </c>
      <c r="D55" s="1">
        <v>3</v>
      </c>
      <c r="E55" s="1">
        <v>3</v>
      </c>
      <c r="F55" s="1">
        <v>1</v>
      </c>
      <c r="G55" s="1">
        <v>3</v>
      </c>
      <c r="H55" s="1">
        <v>3</v>
      </c>
      <c r="I55" s="1">
        <v>3</v>
      </c>
      <c r="J55" s="1">
        <v>3</v>
      </c>
      <c r="K55" s="1">
        <v>3</v>
      </c>
      <c r="L55" s="1">
        <v>3</v>
      </c>
      <c r="M55" s="1">
        <v>1</v>
      </c>
      <c r="N55">
        <v>86</v>
      </c>
    </row>
    <row r="56" spans="2:14" x14ac:dyDescent="0.2">
      <c r="B56">
        <v>12</v>
      </c>
      <c r="C56">
        <v>3</v>
      </c>
      <c r="D56" s="1">
        <v>3</v>
      </c>
      <c r="E56" s="1">
        <v>3</v>
      </c>
      <c r="F56" s="1">
        <v>1</v>
      </c>
      <c r="G56" s="1">
        <v>3</v>
      </c>
      <c r="H56" s="1">
        <v>3</v>
      </c>
      <c r="I56" s="1">
        <v>3</v>
      </c>
      <c r="J56" s="1">
        <v>3</v>
      </c>
      <c r="K56" s="1">
        <v>3</v>
      </c>
      <c r="L56" s="1">
        <v>3</v>
      </c>
      <c r="M56" s="1">
        <v>1</v>
      </c>
      <c r="N56">
        <v>86</v>
      </c>
    </row>
    <row r="57" spans="2:14" x14ac:dyDescent="0.2">
      <c r="B57">
        <v>12</v>
      </c>
      <c r="C57">
        <v>4</v>
      </c>
      <c r="D57" s="1">
        <v>3</v>
      </c>
      <c r="E57" s="1">
        <v>3</v>
      </c>
      <c r="F57" s="1">
        <v>1</v>
      </c>
      <c r="G57" s="1">
        <v>3</v>
      </c>
      <c r="H57" s="1">
        <v>3</v>
      </c>
      <c r="I57" s="1">
        <v>3</v>
      </c>
      <c r="J57" s="1">
        <v>3</v>
      </c>
      <c r="K57" s="1">
        <v>3</v>
      </c>
      <c r="L57" s="1">
        <v>3</v>
      </c>
      <c r="M57" s="1">
        <v>1</v>
      </c>
      <c r="N57">
        <v>86</v>
      </c>
    </row>
    <row r="58" spans="2:14" x14ac:dyDescent="0.2">
      <c r="B58">
        <v>12</v>
      </c>
      <c r="C58">
        <v>5</v>
      </c>
      <c r="D58" s="1">
        <v>3</v>
      </c>
      <c r="E58" s="1">
        <v>3</v>
      </c>
      <c r="F58" s="1">
        <v>1</v>
      </c>
      <c r="G58" s="1">
        <v>3</v>
      </c>
      <c r="H58" s="1">
        <v>3</v>
      </c>
      <c r="I58" s="1">
        <v>3</v>
      </c>
      <c r="J58" s="1">
        <v>3</v>
      </c>
      <c r="K58" s="1">
        <v>3</v>
      </c>
      <c r="L58" s="1">
        <v>3</v>
      </c>
      <c r="M58" s="1">
        <v>1</v>
      </c>
      <c r="N58">
        <v>86</v>
      </c>
    </row>
    <row r="59" spans="2:14" x14ac:dyDescent="0.2">
      <c r="B59">
        <v>6</v>
      </c>
      <c r="C59">
        <v>1</v>
      </c>
      <c r="D59" s="1">
        <v>3</v>
      </c>
      <c r="E59" s="1">
        <v>3</v>
      </c>
      <c r="F59">
        <v>3</v>
      </c>
      <c r="G59">
        <v>2</v>
      </c>
      <c r="H59" s="1">
        <v>3</v>
      </c>
      <c r="I59" s="1">
        <v>3</v>
      </c>
      <c r="J59" s="1">
        <v>3</v>
      </c>
      <c r="K59" s="1">
        <v>3</v>
      </c>
      <c r="L59" s="1">
        <v>3</v>
      </c>
      <c r="M59">
        <v>3</v>
      </c>
      <c r="N59">
        <v>92</v>
      </c>
    </row>
    <row r="60" spans="2:14" x14ac:dyDescent="0.2">
      <c r="B60">
        <v>6</v>
      </c>
      <c r="C60">
        <v>2</v>
      </c>
      <c r="D60" s="1">
        <v>3</v>
      </c>
      <c r="E60" s="1">
        <v>3</v>
      </c>
      <c r="F60" s="1">
        <v>3</v>
      </c>
      <c r="G60" s="1">
        <v>2</v>
      </c>
      <c r="H60" s="1">
        <v>3</v>
      </c>
      <c r="I60" s="1">
        <v>3</v>
      </c>
      <c r="J60" s="1">
        <v>3</v>
      </c>
      <c r="K60" s="1">
        <v>3</v>
      </c>
      <c r="L60" s="1">
        <v>3</v>
      </c>
      <c r="M60" s="1">
        <v>3</v>
      </c>
      <c r="N60">
        <v>92</v>
      </c>
    </row>
    <row r="61" spans="2:14" x14ac:dyDescent="0.2">
      <c r="B61">
        <v>6</v>
      </c>
      <c r="C61">
        <v>3</v>
      </c>
      <c r="D61" s="1">
        <v>3</v>
      </c>
      <c r="E61" s="1">
        <v>3</v>
      </c>
      <c r="F61" s="1">
        <v>3</v>
      </c>
      <c r="G61" s="1">
        <v>2</v>
      </c>
      <c r="H61" s="1">
        <v>3</v>
      </c>
      <c r="I61" s="1">
        <v>3</v>
      </c>
      <c r="J61" s="1">
        <v>3</v>
      </c>
      <c r="K61" s="1">
        <v>3</v>
      </c>
      <c r="L61" s="1">
        <v>3</v>
      </c>
      <c r="M61" s="1">
        <v>3</v>
      </c>
      <c r="N61">
        <v>92</v>
      </c>
    </row>
    <row r="62" spans="2:14" x14ac:dyDescent="0.2">
      <c r="B62">
        <v>6</v>
      </c>
      <c r="C62">
        <v>4</v>
      </c>
      <c r="D62" s="1">
        <v>3</v>
      </c>
      <c r="E62" s="1">
        <v>3</v>
      </c>
      <c r="F62" s="1">
        <v>3</v>
      </c>
      <c r="G62" s="1">
        <v>2</v>
      </c>
      <c r="H62" s="1">
        <v>3</v>
      </c>
      <c r="I62" s="1">
        <v>3</v>
      </c>
      <c r="J62" s="1">
        <v>3</v>
      </c>
      <c r="K62" s="1">
        <v>3</v>
      </c>
      <c r="L62" s="1">
        <v>3</v>
      </c>
      <c r="M62" s="1">
        <v>3</v>
      </c>
      <c r="N62">
        <v>92</v>
      </c>
    </row>
    <row r="66" spans="2:13" x14ac:dyDescent="0.2">
      <c r="B66" s="5" t="s">
        <v>61</v>
      </c>
      <c r="D66" s="6" t="s">
        <v>2</v>
      </c>
      <c r="E66" s="6" t="s">
        <v>3</v>
      </c>
      <c r="F66" s="6" t="s">
        <v>4</v>
      </c>
      <c r="G66" s="6" t="s">
        <v>5</v>
      </c>
      <c r="H66" s="6" t="s">
        <v>6</v>
      </c>
      <c r="I66" s="6" t="s">
        <v>7</v>
      </c>
      <c r="J66" s="6" t="s">
        <v>8</v>
      </c>
      <c r="K66" s="6" t="s">
        <v>9</v>
      </c>
      <c r="L66" s="6" t="s">
        <v>10</v>
      </c>
      <c r="M66" s="6" t="s">
        <v>11</v>
      </c>
    </row>
    <row r="67" spans="2:13" x14ac:dyDescent="0.2">
      <c r="B67" s="5" t="s">
        <v>62</v>
      </c>
      <c r="C67" s="4"/>
      <c r="D67" s="5">
        <v>3</v>
      </c>
      <c r="E67" s="5">
        <v>3</v>
      </c>
      <c r="F67" s="5" t="s">
        <v>65</v>
      </c>
      <c r="G67" s="5" t="s">
        <v>65</v>
      </c>
      <c r="H67" s="5" t="s">
        <v>65</v>
      </c>
      <c r="I67" s="5" t="s">
        <v>65</v>
      </c>
      <c r="J67" s="5" t="s">
        <v>65</v>
      </c>
      <c r="K67" s="5" t="s">
        <v>65</v>
      </c>
      <c r="L67" s="5" t="s">
        <v>65</v>
      </c>
      <c r="M67" s="5" t="s">
        <v>65</v>
      </c>
    </row>
    <row r="68" spans="2:13" x14ac:dyDescent="0.2">
      <c r="B68" s="5" t="s">
        <v>63</v>
      </c>
      <c r="C68" s="4"/>
      <c r="D68" s="5">
        <f>AVERAGE(Table2[Clarity of report])</f>
        <v>3</v>
      </c>
      <c r="E68" s="5">
        <f>AVERAGE(Table2[Report Formatting_figures/tables/referencing/significant figures])</f>
        <v>3</v>
      </c>
      <c r="F68" s="5">
        <f>AVERAGE(Table2[Executive Summary])</f>
        <v>2.5737704918032787</v>
      </c>
      <c r="G68" s="5">
        <f>AVERAGE(Table2[Introduction/market analysis])</f>
        <v>2.5901639344262297</v>
      </c>
      <c r="H68" s="5">
        <f>AVERAGE(Table2[PFD/Equipment sizing])</f>
        <v>3</v>
      </c>
      <c r="I68" s="5">
        <f>AVERAGE(Table2[Material balance])</f>
        <v>3</v>
      </c>
      <c r="J68" s="5">
        <f>AVERAGE(Table2[Safety and Environmental hazards and Process Safety Analysis (HAZOP)])</f>
        <v>3</v>
      </c>
      <c r="K68" s="5">
        <f>AVERAGE(Table2[Process Controls])</f>
        <v>3</v>
      </c>
      <c r="L68" s="5">
        <f>AVERAGE(Table2[Economic Analysis])</f>
        <v>3</v>
      </c>
      <c r="M68" s="5">
        <f>AVERAGE(Table2[Sensitivity Analysis and Recommendation])</f>
        <v>2.6885245901639343</v>
      </c>
    </row>
    <row r="69" spans="2:13" x14ac:dyDescent="0.2">
      <c r="B69" s="5" t="s">
        <v>64</v>
      </c>
      <c r="C69" s="4"/>
      <c r="D69" s="5">
        <f>STDEV(Table2[Clarity of report])</f>
        <v>0</v>
      </c>
      <c r="E69" s="5">
        <f>STDEV(Table2[Report Formatting_figures/tables/referencing/significant figures])</f>
        <v>0</v>
      </c>
      <c r="F69" s="5">
        <f>STDEV(Table2[Executive Summary])</f>
        <v>0.82581306184556935</v>
      </c>
      <c r="G69" s="5">
        <f>STDEV(Table2[Introduction/market analysis])</f>
        <v>0.71593875856174249</v>
      </c>
      <c r="H69" s="5">
        <f>STDEV(Table2[PFD/Equipment sizing])</f>
        <v>0</v>
      </c>
      <c r="I69" s="5">
        <f>STDEV(Table2[Material balance])</f>
        <v>0</v>
      </c>
      <c r="J69" s="5">
        <f>STDEV(Table2[Safety and Environmental hazards and Process Safety Analysis (HAZOP)])</f>
        <v>0</v>
      </c>
      <c r="K69" s="5">
        <f>STDEV(Table2[Process Controls])</f>
        <v>0</v>
      </c>
      <c r="L69" s="5">
        <f>STDEV(Table2[Economic Analysis])</f>
        <v>0</v>
      </c>
      <c r="M69" s="5">
        <f>STDEV(Table2[Sensitivity Analysis and Recommendation])</f>
        <v>0.62024144778619283</v>
      </c>
    </row>
    <row r="71" spans="2:13" x14ac:dyDescent="0.2">
      <c r="B71" s="5" t="s">
        <v>72</v>
      </c>
      <c r="C71" s="4"/>
      <c r="D71" s="5">
        <f>AVERAGE(D68:M68)</f>
        <v>2.8852459016393444</v>
      </c>
    </row>
    <row r="72" spans="2:13" x14ac:dyDescent="0.2">
      <c r="B72" s="5" t="s">
        <v>66</v>
      </c>
      <c r="C72" s="4"/>
      <c r="D72" s="5">
        <f>AVERAGE(F68:M68)</f>
        <v>2.8565573770491803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05A9-F66A-473B-AAFF-76B7F001E5F5}">
  <dimension ref="C1:O71"/>
  <sheetViews>
    <sheetView topLeftCell="A46" workbookViewId="0">
      <selection activeCell="D77" sqref="D77"/>
    </sheetView>
  </sheetViews>
  <sheetFormatPr baseColWidth="10" defaultColWidth="8.83203125" defaultRowHeight="15" x14ac:dyDescent="0.2"/>
  <cols>
    <col min="3" max="3" width="11.5" customWidth="1"/>
    <col min="4" max="4" width="12.1640625" customWidth="1"/>
    <col min="5" max="15" width="11.33203125" customWidth="1"/>
  </cols>
  <sheetData>
    <row r="1" spans="3:15" x14ac:dyDescent="0.2">
      <c r="C1" t="s">
        <v>0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5</v>
      </c>
      <c r="J1" t="s">
        <v>17</v>
      </c>
      <c r="K1" t="s">
        <v>18</v>
      </c>
      <c r="L1" t="s">
        <v>9</v>
      </c>
      <c r="M1" t="s">
        <v>10</v>
      </c>
      <c r="N1" t="s">
        <v>11</v>
      </c>
      <c r="O1" t="s">
        <v>12</v>
      </c>
    </row>
    <row r="2" spans="3:15" x14ac:dyDescent="0.2">
      <c r="C2">
        <v>2</v>
      </c>
      <c r="D2">
        <v>1</v>
      </c>
      <c r="E2">
        <v>3</v>
      </c>
      <c r="F2">
        <v>3</v>
      </c>
      <c r="G2" s="1">
        <v>3</v>
      </c>
      <c r="H2" s="1">
        <v>3</v>
      </c>
      <c r="I2" s="1">
        <v>3</v>
      </c>
      <c r="J2">
        <v>3</v>
      </c>
      <c r="K2">
        <v>3</v>
      </c>
      <c r="L2" s="1">
        <v>3</v>
      </c>
      <c r="M2" s="1">
        <v>3</v>
      </c>
      <c r="N2" s="1">
        <v>3</v>
      </c>
      <c r="O2">
        <v>94</v>
      </c>
    </row>
    <row r="3" spans="3:15" x14ac:dyDescent="0.2">
      <c r="C3">
        <v>2</v>
      </c>
      <c r="D3">
        <v>2</v>
      </c>
      <c r="E3" s="1">
        <v>3</v>
      </c>
      <c r="F3" s="1">
        <v>3</v>
      </c>
      <c r="G3" s="1">
        <v>3</v>
      </c>
      <c r="H3" s="1">
        <v>3</v>
      </c>
      <c r="I3" s="1">
        <v>3</v>
      </c>
      <c r="J3" s="1">
        <v>3</v>
      </c>
      <c r="K3" s="1">
        <v>3</v>
      </c>
      <c r="L3" s="1">
        <v>3</v>
      </c>
      <c r="M3" s="1">
        <v>3</v>
      </c>
      <c r="N3" s="1">
        <v>3</v>
      </c>
      <c r="O3">
        <v>94</v>
      </c>
    </row>
    <row r="4" spans="3:15" x14ac:dyDescent="0.2">
      <c r="C4">
        <v>2</v>
      </c>
      <c r="D4">
        <v>3</v>
      </c>
      <c r="E4" s="1">
        <v>3</v>
      </c>
      <c r="F4" s="1">
        <v>3</v>
      </c>
      <c r="G4" s="1">
        <v>3</v>
      </c>
      <c r="H4" s="1">
        <v>3</v>
      </c>
      <c r="I4" s="1">
        <v>3</v>
      </c>
      <c r="J4" s="1">
        <v>3</v>
      </c>
      <c r="K4" s="1">
        <v>3</v>
      </c>
      <c r="L4" s="1">
        <v>3</v>
      </c>
      <c r="M4" s="1">
        <v>3</v>
      </c>
      <c r="N4" s="1">
        <v>3</v>
      </c>
      <c r="O4">
        <v>94</v>
      </c>
    </row>
    <row r="5" spans="3:15" x14ac:dyDescent="0.2">
      <c r="C5">
        <v>2</v>
      </c>
      <c r="D5">
        <v>4</v>
      </c>
      <c r="E5" s="1">
        <v>3</v>
      </c>
      <c r="F5" s="1">
        <v>3</v>
      </c>
      <c r="G5" s="1">
        <v>3</v>
      </c>
      <c r="H5" s="1">
        <v>3</v>
      </c>
      <c r="I5" s="1">
        <v>3</v>
      </c>
      <c r="J5" s="1">
        <v>3</v>
      </c>
      <c r="K5" s="1">
        <v>3</v>
      </c>
      <c r="L5" s="1">
        <v>3</v>
      </c>
      <c r="M5" s="1">
        <v>3</v>
      </c>
      <c r="N5" s="1">
        <v>3</v>
      </c>
      <c r="O5">
        <v>94</v>
      </c>
    </row>
    <row r="6" spans="3:15" x14ac:dyDescent="0.2">
      <c r="C6">
        <v>10</v>
      </c>
      <c r="D6">
        <v>1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>
        <v>90</v>
      </c>
    </row>
    <row r="7" spans="3:15" x14ac:dyDescent="0.2">
      <c r="C7">
        <v>10</v>
      </c>
      <c r="D7">
        <v>2</v>
      </c>
      <c r="E7" s="1">
        <v>3</v>
      </c>
      <c r="F7" s="1">
        <v>3</v>
      </c>
      <c r="G7" s="1">
        <v>3</v>
      </c>
      <c r="H7" s="1">
        <v>3</v>
      </c>
      <c r="I7" s="1">
        <v>3</v>
      </c>
      <c r="J7" s="1">
        <v>3</v>
      </c>
      <c r="K7" s="1">
        <v>3</v>
      </c>
      <c r="L7" s="1">
        <v>3</v>
      </c>
      <c r="M7" s="1">
        <v>3</v>
      </c>
      <c r="N7" s="1">
        <v>3</v>
      </c>
      <c r="O7">
        <v>90</v>
      </c>
    </row>
    <row r="8" spans="3:15" x14ac:dyDescent="0.2">
      <c r="C8">
        <v>10</v>
      </c>
      <c r="D8">
        <v>3</v>
      </c>
      <c r="E8" s="1">
        <v>3</v>
      </c>
      <c r="F8" s="1">
        <v>3</v>
      </c>
      <c r="G8" s="1">
        <v>3</v>
      </c>
      <c r="H8" s="1">
        <v>3</v>
      </c>
      <c r="I8" s="1">
        <v>3</v>
      </c>
      <c r="J8" s="1">
        <v>3</v>
      </c>
      <c r="K8" s="1">
        <v>3</v>
      </c>
      <c r="L8" s="1">
        <v>3</v>
      </c>
      <c r="M8" s="1">
        <v>3</v>
      </c>
      <c r="N8" s="1">
        <v>3</v>
      </c>
      <c r="O8">
        <v>90</v>
      </c>
    </row>
    <row r="9" spans="3:15" x14ac:dyDescent="0.2">
      <c r="C9">
        <v>10</v>
      </c>
      <c r="D9">
        <v>4</v>
      </c>
      <c r="E9" s="1">
        <v>3</v>
      </c>
      <c r="F9" s="1">
        <v>3</v>
      </c>
      <c r="G9" s="1">
        <v>3</v>
      </c>
      <c r="H9" s="1">
        <v>3</v>
      </c>
      <c r="I9" s="1">
        <v>3</v>
      </c>
      <c r="J9" s="1">
        <v>3</v>
      </c>
      <c r="K9" s="1">
        <v>3</v>
      </c>
      <c r="L9" s="1">
        <v>3</v>
      </c>
      <c r="M9" s="1">
        <v>3</v>
      </c>
      <c r="N9" s="1">
        <v>3</v>
      </c>
      <c r="O9">
        <v>90</v>
      </c>
    </row>
    <row r="10" spans="3:15" x14ac:dyDescent="0.2">
      <c r="C10">
        <v>3</v>
      </c>
      <c r="D10">
        <v>1</v>
      </c>
      <c r="E10" s="1">
        <v>3</v>
      </c>
      <c r="F10" s="1">
        <v>3</v>
      </c>
      <c r="G10" s="1">
        <v>3</v>
      </c>
      <c r="H10" s="1">
        <v>3</v>
      </c>
      <c r="I10" s="1">
        <v>3</v>
      </c>
      <c r="J10" s="1">
        <v>3</v>
      </c>
      <c r="K10" s="1">
        <v>3</v>
      </c>
      <c r="L10" s="1">
        <v>3</v>
      </c>
      <c r="M10" s="1">
        <v>3</v>
      </c>
      <c r="N10" s="1">
        <v>3</v>
      </c>
      <c r="O10">
        <v>90</v>
      </c>
    </row>
    <row r="11" spans="3:15" x14ac:dyDescent="0.2">
      <c r="C11">
        <v>3</v>
      </c>
      <c r="D11">
        <v>2</v>
      </c>
      <c r="E11" s="1">
        <v>3</v>
      </c>
      <c r="F11" s="1">
        <v>3</v>
      </c>
      <c r="G11" s="1">
        <v>3</v>
      </c>
      <c r="H11" s="1">
        <v>3</v>
      </c>
      <c r="I11" s="1">
        <v>3</v>
      </c>
      <c r="J11" s="1">
        <v>3</v>
      </c>
      <c r="K11" s="1">
        <v>3</v>
      </c>
      <c r="L11" s="1">
        <v>3</v>
      </c>
      <c r="M11" s="1">
        <v>3</v>
      </c>
      <c r="N11" s="1">
        <v>3</v>
      </c>
      <c r="O11">
        <v>90</v>
      </c>
    </row>
    <row r="12" spans="3:15" x14ac:dyDescent="0.2">
      <c r="C12">
        <v>3</v>
      </c>
      <c r="D12">
        <v>3</v>
      </c>
      <c r="E12" s="1">
        <v>3</v>
      </c>
      <c r="F12" s="1">
        <v>3</v>
      </c>
      <c r="G12" s="1">
        <v>3</v>
      </c>
      <c r="H12" s="1">
        <v>3</v>
      </c>
      <c r="I12" s="1">
        <v>3</v>
      </c>
      <c r="J12" s="1">
        <v>3</v>
      </c>
      <c r="K12" s="1">
        <v>3</v>
      </c>
      <c r="L12" s="1">
        <v>3</v>
      </c>
      <c r="M12" s="1">
        <v>3</v>
      </c>
      <c r="N12" s="1">
        <v>3</v>
      </c>
      <c r="O12">
        <v>90</v>
      </c>
    </row>
    <row r="13" spans="3:15" x14ac:dyDescent="0.2">
      <c r="C13">
        <v>3</v>
      </c>
      <c r="D13">
        <v>4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  <c r="J13" s="1">
        <v>3</v>
      </c>
      <c r="K13" s="1">
        <v>3</v>
      </c>
      <c r="L13" s="1">
        <v>3</v>
      </c>
      <c r="M13" s="1">
        <v>3</v>
      </c>
      <c r="N13" s="1">
        <v>3</v>
      </c>
      <c r="O13">
        <v>90</v>
      </c>
    </row>
    <row r="14" spans="3:15" x14ac:dyDescent="0.2">
      <c r="C14">
        <v>14</v>
      </c>
      <c r="D14">
        <v>1</v>
      </c>
      <c r="E14" s="1">
        <v>3</v>
      </c>
      <c r="F14" s="1">
        <v>3</v>
      </c>
      <c r="G14" s="1">
        <v>3</v>
      </c>
      <c r="H14" s="1">
        <v>3</v>
      </c>
      <c r="I14" s="1">
        <v>3</v>
      </c>
      <c r="J14" s="1">
        <v>3</v>
      </c>
      <c r="K14" s="1">
        <v>3</v>
      </c>
      <c r="L14" s="1">
        <v>3</v>
      </c>
      <c r="M14" s="1">
        <v>3</v>
      </c>
      <c r="N14" s="1">
        <v>3</v>
      </c>
      <c r="O14">
        <v>96</v>
      </c>
    </row>
    <row r="15" spans="3:15" x14ac:dyDescent="0.2">
      <c r="C15">
        <v>14</v>
      </c>
      <c r="D15">
        <v>2</v>
      </c>
      <c r="E15" s="1">
        <v>3</v>
      </c>
      <c r="F15" s="1">
        <v>3</v>
      </c>
      <c r="G15" s="1">
        <v>3</v>
      </c>
      <c r="H15" s="1">
        <v>3</v>
      </c>
      <c r="I15" s="1">
        <v>3</v>
      </c>
      <c r="J15" s="1">
        <v>3</v>
      </c>
      <c r="K15" s="1">
        <v>3</v>
      </c>
      <c r="L15" s="1">
        <v>3</v>
      </c>
      <c r="M15" s="1">
        <v>3</v>
      </c>
      <c r="N15" s="1">
        <v>3</v>
      </c>
      <c r="O15">
        <v>96</v>
      </c>
    </row>
    <row r="16" spans="3:15" x14ac:dyDescent="0.2">
      <c r="C16">
        <v>14</v>
      </c>
      <c r="D16">
        <v>3</v>
      </c>
      <c r="E16" s="1">
        <v>3</v>
      </c>
      <c r="F16" s="1">
        <v>3</v>
      </c>
      <c r="G16" s="1">
        <v>3</v>
      </c>
      <c r="H16" s="1">
        <v>3</v>
      </c>
      <c r="I16" s="1">
        <v>3</v>
      </c>
      <c r="J16" s="1">
        <v>3</v>
      </c>
      <c r="K16" s="1">
        <v>3</v>
      </c>
      <c r="L16" s="1">
        <v>3</v>
      </c>
      <c r="M16" s="1">
        <v>3</v>
      </c>
      <c r="N16" s="1">
        <v>3</v>
      </c>
      <c r="O16">
        <v>96</v>
      </c>
    </row>
    <row r="17" spans="3:15" x14ac:dyDescent="0.2">
      <c r="C17">
        <v>14</v>
      </c>
      <c r="D17">
        <v>4</v>
      </c>
      <c r="E17" s="1">
        <v>3</v>
      </c>
      <c r="F17" s="1">
        <v>3</v>
      </c>
      <c r="G17" s="1">
        <v>3</v>
      </c>
      <c r="H17" s="1">
        <v>3</v>
      </c>
      <c r="I17" s="1">
        <v>3</v>
      </c>
      <c r="J17" s="1">
        <v>3</v>
      </c>
      <c r="K17" s="1">
        <v>3</v>
      </c>
      <c r="L17" s="1">
        <v>3</v>
      </c>
      <c r="M17" s="1">
        <v>3</v>
      </c>
      <c r="N17" s="1">
        <v>3</v>
      </c>
      <c r="O17">
        <v>96</v>
      </c>
    </row>
    <row r="18" spans="3:15" x14ac:dyDescent="0.2">
      <c r="C18">
        <v>14</v>
      </c>
      <c r="D18">
        <v>5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  <c r="J18" s="1">
        <v>3</v>
      </c>
      <c r="K18" s="1">
        <v>3</v>
      </c>
      <c r="L18" s="1">
        <v>3</v>
      </c>
      <c r="M18" s="1">
        <v>3</v>
      </c>
      <c r="N18" s="1">
        <v>3</v>
      </c>
      <c r="O18">
        <v>96</v>
      </c>
    </row>
    <row r="19" spans="3:15" x14ac:dyDescent="0.2">
      <c r="C19">
        <v>5</v>
      </c>
      <c r="D19">
        <v>1</v>
      </c>
      <c r="E19" s="1">
        <v>3</v>
      </c>
      <c r="F19" s="1">
        <v>3</v>
      </c>
      <c r="G19" s="1">
        <v>3</v>
      </c>
      <c r="H19" s="1">
        <v>3</v>
      </c>
      <c r="I19" s="1">
        <v>3</v>
      </c>
      <c r="J19" s="1">
        <v>3</v>
      </c>
      <c r="K19" s="1">
        <v>3</v>
      </c>
      <c r="L19" s="1">
        <v>3</v>
      </c>
      <c r="M19" s="1">
        <v>3</v>
      </c>
      <c r="N19" s="1">
        <v>3</v>
      </c>
      <c r="O19">
        <v>98</v>
      </c>
    </row>
    <row r="20" spans="3:15" x14ac:dyDescent="0.2">
      <c r="C20">
        <v>5</v>
      </c>
      <c r="D20">
        <v>2</v>
      </c>
      <c r="E20" s="1">
        <v>3</v>
      </c>
      <c r="F20" s="1">
        <v>3</v>
      </c>
      <c r="G20" s="1">
        <v>3</v>
      </c>
      <c r="H20" s="1">
        <v>3</v>
      </c>
      <c r="I20" s="1">
        <v>3</v>
      </c>
      <c r="J20" s="1">
        <v>3</v>
      </c>
      <c r="K20" s="1">
        <v>3</v>
      </c>
      <c r="L20" s="1">
        <v>3</v>
      </c>
      <c r="M20" s="1">
        <v>3</v>
      </c>
      <c r="N20" s="1">
        <v>3</v>
      </c>
      <c r="O20">
        <v>98</v>
      </c>
    </row>
    <row r="21" spans="3:15" x14ac:dyDescent="0.2">
      <c r="C21">
        <v>5</v>
      </c>
      <c r="D21">
        <v>3</v>
      </c>
      <c r="E21" s="1">
        <v>3</v>
      </c>
      <c r="F21" s="1">
        <v>3</v>
      </c>
      <c r="G21" s="1">
        <v>3</v>
      </c>
      <c r="H21" s="1">
        <v>3</v>
      </c>
      <c r="I21" s="1">
        <v>3</v>
      </c>
      <c r="J21" s="1">
        <v>3</v>
      </c>
      <c r="K21" s="1">
        <v>3</v>
      </c>
      <c r="L21" s="1">
        <v>3</v>
      </c>
      <c r="M21" s="1">
        <v>3</v>
      </c>
      <c r="N21" s="1">
        <v>3</v>
      </c>
      <c r="O21">
        <v>98</v>
      </c>
    </row>
    <row r="22" spans="3:15" x14ac:dyDescent="0.2">
      <c r="C22">
        <v>5</v>
      </c>
      <c r="D22">
        <v>4</v>
      </c>
      <c r="E22" s="1">
        <v>3</v>
      </c>
      <c r="F22" s="1">
        <v>3</v>
      </c>
      <c r="G22" s="1">
        <v>3</v>
      </c>
      <c r="H22" s="1">
        <v>3</v>
      </c>
      <c r="I22" s="1">
        <v>3</v>
      </c>
      <c r="J22" s="1">
        <v>3</v>
      </c>
      <c r="K22" s="1">
        <v>3</v>
      </c>
      <c r="L22" s="1">
        <v>3</v>
      </c>
      <c r="M22" s="1">
        <v>3</v>
      </c>
      <c r="N22" s="1">
        <v>3</v>
      </c>
      <c r="O22">
        <v>98</v>
      </c>
    </row>
    <row r="23" spans="3:15" x14ac:dyDescent="0.2">
      <c r="C23">
        <v>11</v>
      </c>
      <c r="D23">
        <v>1</v>
      </c>
      <c r="E23" s="1">
        <v>3</v>
      </c>
      <c r="F23" s="1">
        <v>3</v>
      </c>
      <c r="G23" s="1">
        <v>3</v>
      </c>
      <c r="H23" s="1">
        <v>3</v>
      </c>
      <c r="I23" s="1">
        <v>3</v>
      </c>
      <c r="J23" s="1">
        <v>3</v>
      </c>
      <c r="K23" s="1">
        <v>3</v>
      </c>
      <c r="L23" s="1">
        <v>3</v>
      </c>
      <c r="M23" s="1">
        <v>3</v>
      </c>
      <c r="N23" s="1">
        <v>3</v>
      </c>
      <c r="O23">
        <v>98</v>
      </c>
    </row>
    <row r="24" spans="3:15" x14ac:dyDescent="0.2">
      <c r="C24">
        <v>11</v>
      </c>
      <c r="D24">
        <v>2</v>
      </c>
      <c r="E24" s="1">
        <v>3</v>
      </c>
      <c r="F24" s="1">
        <v>3</v>
      </c>
      <c r="G24" s="1">
        <v>3</v>
      </c>
      <c r="H24" s="1">
        <v>3</v>
      </c>
      <c r="I24" s="1">
        <v>3</v>
      </c>
      <c r="J24" s="1">
        <v>3</v>
      </c>
      <c r="K24" s="1">
        <v>3</v>
      </c>
      <c r="L24" s="1">
        <v>3</v>
      </c>
      <c r="M24" s="1">
        <v>3</v>
      </c>
      <c r="N24" s="1">
        <v>3</v>
      </c>
      <c r="O24">
        <v>98</v>
      </c>
    </row>
    <row r="25" spans="3:15" x14ac:dyDescent="0.2">
      <c r="C25">
        <v>11</v>
      </c>
      <c r="D25">
        <v>3</v>
      </c>
      <c r="E25" s="1">
        <v>3</v>
      </c>
      <c r="F25" s="1">
        <v>3</v>
      </c>
      <c r="G25" s="1">
        <v>3</v>
      </c>
      <c r="H25" s="1">
        <v>3</v>
      </c>
      <c r="I25" s="1">
        <v>3</v>
      </c>
      <c r="J25" s="1">
        <v>3</v>
      </c>
      <c r="K25" s="1">
        <v>3</v>
      </c>
      <c r="L25" s="1">
        <v>3</v>
      </c>
      <c r="M25" s="1">
        <v>3</v>
      </c>
      <c r="N25" s="1">
        <v>3</v>
      </c>
      <c r="O25">
        <v>98</v>
      </c>
    </row>
    <row r="26" spans="3:15" x14ac:dyDescent="0.2">
      <c r="C26">
        <v>11</v>
      </c>
      <c r="D26">
        <v>4</v>
      </c>
      <c r="E26" s="1">
        <v>3</v>
      </c>
      <c r="F26" s="1">
        <v>3</v>
      </c>
      <c r="G26" s="1">
        <v>3</v>
      </c>
      <c r="H26" s="1">
        <v>3</v>
      </c>
      <c r="I26" s="1">
        <v>3</v>
      </c>
      <c r="J26" s="1">
        <v>3</v>
      </c>
      <c r="K26" s="1">
        <v>3</v>
      </c>
      <c r="L26" s="1">
        <v>3</v>
      </c>
      <c r="M26" s="1">
        <v>3</v>
      </c>
      <c r="N26" s="1">
        <v>3</v>
      </c>
      <c r="O26">
        <v>98</v>
      </c>
    </row>
    <row r="27" spans="3:15" x14ac:dyDescent="0.2">
      <c r="C27">
        <v>4</v>
      </c>
      <c r="D27">
        <v>1</v>
      </c>
      <c r="E27" s="1">
        <v>3</v>
      </c>
      <c r="F27" s="1">
        <v>3</v>
      </c>
      <c r="G27" s="1">
        <v>3</v>
      </c>
      <c r="H27" s="1">
        <v>3</v>
      </c>
      <c r="I27" s="1">
        <v>3</v>
      </c>
      <c r="J27" s="1">
        <v>3</v>
      </c>
      <c r="K27" s="1">
        <v>3</v>
      </c>
      <c r="L27" s="1">
        <v>3</v>
      </c>
      <c r="M27" s="1">
        <v>3</v>
      </c>
      <c r="N27" s="1">
        <v>3</v>
      </c>
      <c r="O27">
        <v>98</v>
      </c>
    </row>
    <row r="28" spans="3:15" x14ac:dyDescent="0.2">
      <c r="C28">
        <v>4</v>
      </c>
      <c r="D28">
        <v>2</v>
      </c>
      <c r="E28" s="1">
        <v>3</v>
      </c>
      <c r="F28" s="1">
        <v>3</v>
      </c>
      <c r="G28" s="1">
        <v>3</v>
      </c>
      <c r="H28" s="1">
        <v>3</v>
      </c>
      <c r="I28" s="1">
        <v>3</v>
      </c>
      <c r="J28" s="1">
        <v>3</v>
      </c>
      <c r="K28" s="1">
        <v>3</v>
      </c>
      <c r="L28" s="1">
        <v>3</v>
      </c>
      <c r="M28" s="1">
        <v>3</v>
      </c>
      <c r="N28" s="1">
        <v>3</v>
      </c>
      <c r="O28">
        <v>98</v>
      </c>
    </row>
    <row r="29" spans="3:15" x14ac:dyDescent="0.2">
      <c r="C29">
        <v>4</v>
      </c>
      <c r="D29">
        <v>3</v>
      </c>
      <c r="E29" s="1">
        <v>3</v>
      </c>
      <c r="F29" s="1">
        <v>3</v>
      </c>
      <c r="G29" s="1">
        <v>3</v>
      </c>
      <c r="H29" s="1">
        <v>3</v>
      </c>
      <c r="I29" s="1">
        <v>3</v>
      </c>
      <c r="J29" s="1">
        <v>3</v>
      </c>
      <c r="K29" s="1">
        <v>3</v>
      </c>
      <c r="L29" s="1">
        <v>3</v>
      </c>
      <c r="M29" s="1">
        <v>3</v>
      </c>
      <c r="N29" s="1">
        <v>3</v>
      </c>
      <c r="O29">
        <v>98</v>
      </c>
    </row>
    <row r="30" spans="3:15" x14ac:dyDescent="0.2">
      <c r="C30">
        <v>4</v>
      </c>
      <c r="D30">
        <v>4</v>
      </c>
      <c r="E30" s="1">
        <v>3</v>
      </c>
      <c r="F30" s="1">
        <v>3</v>
      </c>
      <c r="G30" s="1">
        <v>3</v>
      </c>
      <c r="H30" s="1">
        <v>3</v>
      </c>
      <c r="I30" s="1">
        <v>3</v>
      </c>
      <c r="J30" s="1">
        <v>3</v>
      </c>
      <c r="K30" s="1">
        <v>3</v>
      </c>
      <c r="L30" s="1">
        <v>3</v>
      </c>
      <c r="M30" s="1">
        <v>3</v>
      </c>
      <c r="N30" s="1">
        <v>3</v>
      </c>
      <c r="O30">
        <v>98</v>
      </c>
    </row>
    <row r="31" spans="3:15" x14ac:dyDescent="0.2">
      <c r="C31">
        <v>8</v>
      </c>
      <c r="D31">
        <v>1</v>
      </c>
      <c r="E31" s="1">
        <v>3</v>
      </c>
      <c r="F31" s="1">
        <v>3</v>
      </c>
      <c r="G31" s="1">
        <v>3</v>
      </c>
      <c r="H31" s="1">
        <v>3</v>
      </c>
      <c r="I31" s="1">
        <v>3</v>
      </c>
      <c r="J31" s="1">
        <v>3</v>
      </c>
      <c r="K31" s="1">
        <v>3</v>
      </c>
      <c r="L31" s="1">
        <v>3</v>
      </c>
      <c r="M31" s="1">
        <v>3</v>
      </c>
      <c r="N31" s="1">
        <v>3</v>
      </c>
      <c r="O31">
        <v>98</v>
      </c>
    </row>
    <row r="32" spans="3:15" x14ac:dyDescent="0.2">
      <c r="C32">
        <v>8</v>
      </c>
      <c r="D32">
        <v>2</v>
      </c>
      <c r="E32" s="1">
        <v>3</v>
      </c>
      <c r="F32" s="1">
        <v>3</v>
      </c>
      <c r="G32" s="1">
        <v>3</v>
      </c>
      <c r="H32" s="1">
        <v>3</v>
      </c>
      <c r="I32" s="1">
        <v>3</v>
      </c>
      <c r="J32" s="1">
        <v>3</v>
      </c>
      <c r="K32" s="1">
        <v>3</v>
      </c>
      <c r="L32" s="1">
        <v>3</v>
      </c>
      <c r="M32" s="1">
        <v>3</v>
      </c>
      <c r="N32" s="1">
        <v>3</v>
      </c>
      <c r="O32">
        <v>98</v>
      </c>
    </row>
    <row r="33" spans="3:15" x14ac:dyDescent="0.2">
      <c r="C33">
        <v>8</v>
      </c>
      <c r="D33">
        <v>3</v>
      </c>
      <c r="E33" s="1">
        <v>3</v>
      </c>
      <c r="F33" s="1">
        <v>3</v>
      </c>
      <c r="G33" s="1">
        <v>3</v>
      </c>
      <c r="H33" s="1">
        <v>3</v>
      </c>
      <c r="I33" s="1">
        <v>3</v>
      </c>
      <c r="J33" s="1">
        <v>3</v>
      </c>
      <c r="K33" s="1">
        <v>3</v>
      </c>
      <c r="L33" s="1">
        <v>3</v>
      </c>
      <c r="M33" s="1">
        <v>3</v>
      </c>
      <c r="N33" s="1">
        <v>3</v>
      </c>
      <c r="O33">
        <v>98</v>
      </c>
    </row>
    <row r="34" spans="3:15" x14ac:dyDescent="0.2">
      <c r="C34">
        <v>8</v>
      </c>
      <c r="D34">
        <v>4</v>
      </c>
      <c r="E34" s="1">
        <v>3</v>
      </c>
      <c r="F34" s="1">
        <v>3</v>
      </c>
      <c r="G34" s="1">
        <v>3</v>
      </c>
      <c r="H34" s="1">
        <v>3</v>
      </c>
      <c r="I34" s="1">
        <v>3</v>
      </c>
      <c r="J34" s="1">
        <v>3</v>
      </c>
      <c r="K34" s="1">
        <v>3</v>
      </c>
      <c r="L34" s="1">
        <v>3</v>
      </c>
      <c r="M34" s="1">
        <v>3</v>
      </c>
      <c r="N34" s="1">
        <v>3</v>
      </c>
      <c r="O34">
        <v>98</v>
      </c>
    </row>
    <row r="35" spans="3:15" x14ac:dyDescent="0.2">
      <c r="C35">
        <v>8</v>
      </c>
      <c r="D35">
        <v>5</v>
      </c>
      <c r="E35" s="1">
        <v>3</v>
      </c>
      <c r="F35" s="1">
        <v>3</v>
      </c>
      <c r="G35" s="1">
        <v>3</v>
      </c>
      <c r="H35" s="1">
        <v>3</v>
      </c>
      <c r="I35" s="1">
        <v>3</v>
      </c>
      <c r="J35" s="1">
        <v>3</v>
      </c>
      <c r="K35" s="1">
        <v>3</v>
      </c>
      <c r="L35" s="1">
        <v>3</v>
      </c>
      <c r="M35" s="1">
        <v>3</v>
      </c>
      <c r="N35" s="1">
        <v>3</v>
      </c>
      <c r="O35">
        <v>98</v>
      </c>
    </row>
    <row r="36" spans="3:15" x14ac:dyDescent="0.2">
      <c r="C36">
        <v>7</v>
      </c>
      <c r="D36">
        <v>1</v>
      </c>
      <c r="E36" s="1">
        <v>3</v>
      </c>
      <c r="F36" s="1">
        <v>3</v>
      </c>
      <c r="G36" s="1">
        <v>3</v>
      </c>
      <c r="H36" s="1">
        <v>3</v>
      </c>
      <c r="I36" s="1">
        <v>3</v>
      </c>
      <c r="J36" s="1">
        <v>3</v>
      </c>
      <c r="K36" s="1">
        <v>3</v>
      </c>
      <c r="L36" s="1">
        <v>3</v>
      </c>
      <c r="M36" s="1">
        <v>3</v>
      </c>
      <c r="N36" s="1">
        <v>3</v>
      </c>
      <c r="O36">
        <v>90</v>
      </c>
    </row>
    <row r="37" spans="3:15" x14ac:dyDescent="0.2">
      <c r="C37">
        <v>7</v>
      </c>
      <c r="D37">
        <v>2</v>
      </c>
      <c r="E37" s="1">
        <v>3</v>
      </c>
      <c r="F37" s="1">
        <v>3</v>
      </c>
      <c r="G37" s="1">
        <v>3</v>
      </c>
      <c r="H37" s="1">
        <v>3</v>
      </c>
      <c r="I37" s="1">
        <v>3</v>
      </c>
      <c r="J37" s="1">
        <v>3</v>
      </c>
      <c r="K37" s="1">
        <v>3</v>
      </c>
      <c r="L37" s="1">
        <v>3</v>
      </c>
      <c r="M37" s="1">
        <v>3</v>
      </c>
      <c r="N37" s="1">
        <v>3</v>
      </c>
      <c r="O37">
        <v>90</v>
      </c>
    </row>
    <row r="38" spans="3:15" x14ac:dyDescent="0.2">
      <c r="C38">
        <v>7</v>
      </c>
      <c r="D38">
        <v>3</v>
      </c>
      <c r="E38" s="1">
        <v>3</v>
      </c>
      <c r="F38" s="1">
        <v>3</v>
      </c>
      <c r="G38" s="1">
        <v>3</v>
      </c>
      <c r="H38" s="1">
        <v>3</v>
      </c>
      <c r="I38" s="1">
        <v>3</v>
      </c>
      <c r="J38" s="1">
        <v>3</v>
      </c>
      <c r="K38" s="1">
        <v>3</v>
      </c>
      <c r="L38" s="1">
        <v>3</v>
      </c>
      <c r="M38" s="1">
        <v>3</v>
      </c>
      <c r="N38" s="1">
        <v>3</v>
      </c>
      <c r="O38">
        <v>90</v>
      </c>
    </row>
    <row r="39" spans="3:15" x14ac:dyDescent="0.2">
      <c r="C39">
        <v>7</v>
      </c>
      <c r="D39">
        <v>4</v>
      </c>
      <c r="E39" s="1">
        <v>3</v>
      </c>
      <c r="F39" s="1">
        <v>3</v>
      </c>
      <c r="G39" s="1">
        <v>3</v>
      </c>
      <c r="H39" s="1">
        <v>3</v>
      </c>
      <c r="I39" s="1">
        <v>3</v>
      </c>
      <c r="J39" s="1">
        <v>3</v>
      </c>
      <c r="K39" s="1">
        <v>3</v>
      </c>
      <c r="L39" s="1">
        <v>3</v>
      </c>
      <c r="M39" s="1">
        <v>3</v>
      </c>
      <c r="N39" s="1">
        <v>3</v>
      </c>
      <c r="O39">
        <v>90</v>
      </c>
    </row>
    <row r="40" spans="3:15" x14ac:dyDescent="0.2">
      <c r="C40">
        <v>7</v>
      </c>
      <c r="D40">
        <v>5</v>
      </c>
      <c r="E40" s="1">
        <v>3</v>
      </c>
      <c r="F40" s="1">
        <v>3</v>
      </c>
      <c r="G40" s="1">
        <v>3</v>
      </c>
      <c r="H40" s="1">
        <v>3</v>
      </c>
      <c r="I40" s="1">
        <v>3</v>
      </c>
      <c r="J40" s="1">
        <v>3</v>
      </c>
      <c r="K40" s="1">
        <v>3</v>
      </c>
      <c r="L40" s="1">
        <v>3</v>
      </c>
      <c r="M40" s="1">
        <v>3</v>
      </c>
      <c r="N40" s="1">
        <v>3</v>
      </c>
      <c r="O40">
        <v>90</v>
      </c>
    </row>
    <row r="41" spans="3:15" x14ac:dyDescent="0.2">
      <c r="C41">
        <v>1</v>
      </c>
      <c r="D41">
        <v>1</v>
      </c>
      <c r="E41" s="1">
        <v>3</v>
      </c>
      <c r="F41" s="1">
        <v>3</v>
      </c>
      <c r="G41" s="1">
        <v>3</v>
      </c>
      <c r="H41" s="1">
        <v>3</v>
      </c>
      <c r="I41" s="1">
        <v>3</v>
      </c>
      <c r="J41" s="1">
        <v>3</v>
      </c>
      <c r="K41" s="1">
        <v>3</v>
      </c>
      <c r="L41" s="1">
        <v>3</v>
      </c>
      <c r="M41" s="1">
        <v>3</v>
      </c>
      <c r="N41" s="1">
        <v>3</v>
      </c>
      <c r="O41">
        <v>98</v>
      </c>
    </row>
    <row r="42" spans="3:15" x14ac:dyDescent="0.2">
      <c r="C42">
        <v>1</v>
      </c>
      <c r="D42">
        <v>2</v>
      </c>
      <c r="E42" s="1">
        <v>3</v>
      </c>
      <c r="F42" s="1">
        <v>3</v>
      </c>
      <c r="G42" s="1">
        <v>3</v>
      </c>
      <c r="H42" s="1">
        <v>3</v>
      </c>
      <c r="I42" s="1">
        <v>3</v>
      </c>
      <c r="J42" s="1">
        <v>3</v>
      </c>
      <c r="K42" s="1">
        <v>3</v>
      </c>
      <c r="L42" s="1">
        <v>3</v>
      </c>
      <c r="M42" s="1">
        <v>3</v>
      </c>
      <c r="N42" s="1">
        <v>3</v>
      </c>
      <c r="O42">
        <v>98</v>
      </c>
    </row>
    <row r="43" spans="3:15" x14ac:dyDescent="0.2">
      <c r="C43">
        <v>1</v>
      </c>
      <c r="D43">
        <v>3</v>
      </c>
      <c r="E43" s="1">
        <v>3</v>
      </c>
      <c r="F43" s="1">
        <v>3</v>
      </c>
      <c r="G43" s="1">
        <v>3</v>
      </c>
      <c r="H43" s="1">
        <v>3</v>
      </c>
      <c r="I43" s="1">
        <v>3</v>
      </c>
      <c r="J43" s="1">
        <v>3</v>
      </c>
      <c r="K43" s="1">
        <v>3</v>
      </c>
      <c r="L43" s="1">
        <v>3</v>
      </c>
      <c r="M43" s="1">
        <v>3</v>
      </c>
      <c r="N43" s="1">
        <v>3</v>
      </c>
      <c r="O43">
        <v>98</v>
      </c>
    </row>
    <row r="44" spans="3:15" x14ac:dyDescent="0.2">
      <c r="C44">
        <v>1</v>
      </c>
      <c r="D44">
        <v>4</v>
      </c>
      <c r="E44" s="1">
        <v>3</v>
      </c>
      <c r="F44" s="1">
        <v>3</v>
      </c>
      <c r="G44" s="1">
        <v>3</v>
      </c>
      <c r="H44" s="1">
        <v>3</v>
      </c>
      <c r="I44" s="1">
        <v>3</v>
      </c>
      <c r="J44" s="1">
        <v>3</v>
      </c>
      <c r="K44" s="1">
        <v>3</v>
      </c>
      <c r="L44" s="1">
        <v>3</v>
      </c>
      <c r="M44" s="1">
        <v>3</v>
      </c>
      <c r="N44" s="1">
        <v>3</v>
      </c>
      <c r="O44">
        <v>98</v>
      </c>
    </row>
    <row r="45" spans="3:15" x14ac:dyDescent="0.2">
      <c r="C45">
        <v>13</v>
      </c>
      <c r="D45">
        <v>1</v>
      </c>
      <c r="E45" s="1">
        <v>3</v>
      </c>
      <c r="F45" s="1">
        <v>3</v>
      </c>
      <c r="G45" s="1">
        <v>3</v>
      </c>
      <c r="H45" s="1">
        <v>3</v>
      </c>
      <c r="I45" s="1">
        <v>3</v>
      </c>
      <c r="J45" s="1">
        <v>3</v>
      </c>
      <c r="K45" s="1">
        <v>3</v>
      </c>
      <c r="L45" s="1">
        <v>3</v>
      </c>
      <c r="M45" s="1">
        <v>3</v>
      </c>
      <c r="N45" s="1">
        <v>3</v>
      </c>
      <c r="O45">
        <v>98</v>
      </c>
    </row>
    <row r="46" spans="3:15" x14ac:dyDescent="0.2">
      <c r="C46">
        <v>13</v>
      </c>
      <c r="D46">
        <v>2</v>
      </c>
      <c r="E46" s="1">
        <v>3</v>
      </c>
      <c r="F46" s="1">
        <v>3</v>
      </c>
      <c r="G46" s="1">
        <v>3</v>
      </c>
      <c r="H46" s="1">
        <v>3</v>
      </c>
      <c r="I46" s="1">
        <v>3</v>
      </c>
      <c r="J46" s="1">
        <v>3</v>
      </c>
      <c r="K46" s="1">
        <v>3</v>
      </c>
      <c r="L46" s="1">
        <v>3</v>
      </c>
      <c r="M46" s="1">
        <v>3</v>
      </c>
      <c r="N46" s="1">
        <v>3</v>
      </c>
      <c r="O46">
        <v>98</v>
      </c>
    </row>
    <row r="47" spans="3:15" x14ac:dyDescent="0.2">
      <c r="C47">
        <v>13</v>
      </c>
      <c r="D47">
        <v>3</v>
      </c>
      <c r="E47" s="1">
        <v>3</v>
      </c>
      <c r="F47" s="1">
        <v>3</v>
      </c>
      <c r="G47" s="1">
        <v>3</v>
      </c>
      <c r="H47" s="1">
        <v>3</v>
      </c>
      <c r="I47" s="1">
        <v>3</v>
      </c>
      <c r="J47" s="1">
        <v>3</v>
      </c>
      <c r="K47" s="1">
        <v>3</v>
      </c>
      <c r="L47" s="1">
        <v>3</v>
      </c>
      <c r="M47" s="1">
        <v>3</v>
      </c>
      <c r="N47" s="1">
        <v>3</v>
      </c>
      <c r="O47">
        <v>98</v>
      </c>
    </row>
    <row r="48" spans="3:15" x14ac:dyDescent="0.2">
      <c r="C48">
        <v>13</v>
      </c>
      <c r="D48">
        <v>4</v>
      </c>
      <c r="E48" s="1">
        <v>3</v>
      </c>
      <c r="F48" s="1">
        <v>3</v>
      </c>
      <c r="G48" s="1">
        <v>3</v>
      </c>
      <c r="H48" s="1">
        <v>3</v>
      </c>
      <c r="I48" s="1">
        <v>3</v>
      </c>
      <c r="J48" s="1">
        <v>3</v>
      </c>
      <c r="K48" s="1">
        <v>3</v>
      </c>
      <c r="L48" s="1">
        <v>3</v>
      </c>
      <c r="M48" s="1">
        <v>3</v>
      </c>
      <c r="N48" s="1">
        <v>3</v>
      </c>
      <c r="O48">
        <v>98</v>
      </c>
    </row>
    <row r="49" spans="3:15" x14ac:dyDescent="0.2">
      <c r="C49">
        <v>13</v>
      </c>
      <c r="D49">
        <v>5</v>
      </c>
      <c r="E49" s="1">
        <v>3</v>
      </c>
      <c r="F49" s="1">
        <v>3</v>
      </c>
      <c r="G49" s="1">
        <v>3</v>
      </c>
      <c r="H49" s="1">
        <v>3</v>
      </c>
      <c r="I49" s="1">
        <v>3</v>
      </c>
      <c r="J49" s="1">
        <v>3</v>
      </c>
      <c r="K49" s="1">
        <v>3</v>
      </c>
      <c r="L49" s="1">
        <v>3</v>
      </c>
      <c r="M49" s="1">
        <v>3</v>
      </c>
      <c r="N49" s="1">
        <v>3</v>
      </c>
      <c r="O49">
        <v>98</v>
      </c>
    </row>
    <row r="50" spans="3:15" x14ac:dyDescent="0.2">
      <c r="C50">
        <v>9</v>
      </c>
      <c r="D50">
        <v>1</v>
      </c>
      <c r="E50" s="1">
        <v>3</v>
      </c>
      <c r="F50" s="1">
        <v>3</v>
      </c>
      <c r="G50" s="1">
        <v>3</v>
      </c>
      <c r="H50" s="1">
        <v>3</v>
      </c>
      <c r="I50" s="1">
        <v>3</v>
      </c>
      <c r="J50">
        <v>2</v>
      </c>
      <c r="K50" s="1">
        <v>3</v>
      </c>
      <c r="L50" s="1">
        <v>3</v>
      </c>
      <c r="M50" s="1">
        <v>3</v>
      </c>
      <c r="N50" s="1">
        <v>3</v>
      </c>
      <c r="O50">
        <v>90</v>
      </c>
    </row>
    <row r="51" spans="3:15" x14ac:dyDescent="0.2">
      <c r="C51">
        <v>9</v>
      </c>
      <c r="D51">
        <v>2</v>
      </c>
      <c r="E51" s="1">
        <v>3</v>
      </c>
      <c r="F51" s="1">
        <v>3</v>
      </c>
      <c r="G51" s="1">
        <v>3</v>
      </c>
      <c r="H51" s="1">
        <v>3</v>
      </c>
      <c r="I51" s="1">
        <v>3</v>
      </c>
      <c r="J51" s="1">
        <v>2</v>
      </c>
      <c r="K51" s="1">
        <v>3</v>
      </c>
      <c r="L51" s="1">
        <v>3</v>
      </c>
      <c r="M51" s="1">
        <v>3</v>
      </c>
      <c r="N51" s="1">
        <v>3</v>
      </c>
      <c r="O51">
        <v>90</v>
      </c>
    </row>
    <row r="52" spans="3:15" x14ac:dyDescent="0.2">
      <c r="C52">
        <v>9</v>
      </c>
      <c r="D52">
        <v>3</v>
      </c>
      <c r="E52" s="1">
        <v>3</v>
      </c>
      <c r="F52" s="1">
        <v>3</v>
      </c>
      <c r="G52" s="1">
        <v>3</v>
      </c>
      <c r="H52" s="1">
        <v>3</v>
      </c>
      <c r="I52" s="1">
        <v>3</v>
      </c>
      <c r="J52" s="1">
        <v>2</v>
      </c>
      <c r="K52" s="1">
        <v>3</v>
      </c>
      <c r="L52" s="1">
        <v>3</v>
      </c>
      <c r="M52" s="1">
        <v>3</v>
      </c>
      <c r="N52" s="1">
        <v>3</v>
      </c>
      <c r="O52">
        <v>90</v>
      </c>
    </row>
    <row r="53" spans="3:15" x14ac:dyDescent="0.2">
      <c r="C53">
        <v>9</v>
      </c>
      <c r="D53">
        <v>4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2</v>
      </c>
      <c r="K53" s="1">
        <v>3</v>
      </c>
      <c r="L53" s="1">
        <v>3</v>
      </c>
      <c r="M53" s="1">
        <v>3</v>
      </c>
      <c r="N53" s="1">
        <v>3</v>
      </c>
      <c r="O53">
        <v>90</v>
      </c>
    </row>
    <row r="54" spans="3:15" x14ac:dyDescent="0.2">
      <c r="C54">
        <v>12</v>
      </c>
      <c r="D54">
        <v>1</v>
      </c>
      <c r="E54" s="1">
        <v>3</v>
      </c>
      <c r="F54" s="1">
        <v>3</v>
      </c>
      <c r="G54" s="1">
        <v>3</v>
      </c>
      <c r="H54" s="1">
        <v>3</v>
      </c>
      <c r="I54" s="1">
        <v>3</v>
      </c>
      <c r="J54">
        <v>3</v>
      </c>
      <c r="K54" s="1">
        <v>3</v>
      </c>
      <c r="L54" s="1">
        <v>3</v>
      </c>
      <c r="M54" s="1">
        <v>3</v>
      </c>
      <c r="N54" s="1">
        <v>3</v>
      </c>
      <c r="O54">
        <v>90</v>
      </c>
    </row>
    <row r="55" spans="3:15" x14ac:dyDescent="0.2">
      <c r="C55">
        <v>12</v>
      </c>
      <c r="D55">
        <v>2</v>
      </c>
      <c r="E55" s="1">
        <v>3</v>
      </c>
      <c r="F55" s="1">
        <v>3</v>
      </c>
      <c r="G55" s="1">
        <v>3</v>
      </c>
      <c r="H55" s="1">
        <v>3</v>
      </c>
      <c r="I55" s="1">
        <v>3</v>
      </c>
      <c r="J55" s="1">
        <v>3</v>
      </c>
      <c r="K55" s="1">
        <v>3</v>
      </c>
      <c r="L55" s="1">
        <v>3</v>
      </c>
      <c r="M55" s="1">
        <v>3</v>
      </c>
      <c r="N55" s="1">
        <v>3</v>
      </c>
      <c r="O55">
        <v>90</v>
      </c>
    </row>
    <row r="56" spans="3:15" x14ac:dyDescent="0.2">
      <c r="C56">
        <v>12</v>
      </c>
      <c r="D56">
        <v>3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  <c r="J56" s="1">
        <v>3</v>
      </c>
      <c r="K56" s="1">
        <v>3</v>
      </c>
      <c r="L56" s="1">
        <v>3</v>
      </c>
      <c r="M56" s="1">
        <v>3</v>
      </c>
      <c r="N56" s="1">
        <v>3</v>
      </c>
      <c r="O56">
        <v>90</v>
      </c>
    </row>
    <row r="57" spans="3:15" x14ac:dyDescent="0.2">
      <c r="C57">
        <v>12</v>
      </c>
      <c r="D57">
        <v>4</v>
      </c>
      <c r="E57" s="1">
        <v>3</v>
      </c>
      <c r="F57" s="1">
        <v>3</v>
      </c>
      <c r="G57" s="1">
        <v>3</v>
      </c>
      <c r="H57" s="1">
        <v>3</v>
      </c>
      <c r="I57" s="1">
        <v>3</v>
      </c>
      <c r="J57" s="1">
        <v>3</v>
      </c>
      <c r="K57" s="1">
        <v>3</v>
      </c>
      <c r="L57" s="1">
        <v>3</v>
      </c>
      <c r="M57" s="1">
        <v>3</v>
      </c>
      <c r="N57" s="1">
        <v>3</v>
      </c>
      <c r="O57">
        <v>90</v>
      </c>
    </row>
    <row r="58" spans="3:15" x14ac:dyDescent="0.2">
      <c r="C58">
        <v>12</v>
      </c>
      <c r="D58">
        <v>5</v>
      </c>
      <c r="E58" s="1">
        <v>3</v>
      </c>
      <c r="F58" s="1">
        <v>3</v>
      </c>
      <c r="G58" s="1">
        <v>3</v>
      </c>
      <c r="H58" s="1">
        <v>3</v>
      </c>
      <c r="I58" s="1">
        <v>3</v>
      </c>
      <c r="J58" s="1">
        <v>3</v>
      </c>
      <c r="K58" s="1">
        <v>3</v>
      </c>
      <c r="L58" s="1">
        <v>3</v>
      </c>
      <c r="M58" s="1">
        <v>3</v>
      </c>
      <c r="N58" s="1">
        <v>3</v>
      </c>
      <c r="O58">
        <v>90</v>
      </c>
    </row>
    <row r="59" spans="3:15" x14ac:dyDescent="0.2">
      <c r="C59">
        <v>6</v>
      </c>
      <c r="D59">
        <v>1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  <c r="J59" s="1">
        <v>3</v>
      </c>
      <c r="K59" s="1">
        <v>3</v>
      </c>
      <c r="L59" s="1">
        <v>3</v>
      </c>
      <c r="M59" s="1">
        <v>3</v>
      </c>
      <c r="N59" s="1">
        <v>3</v>
      </c>
      <c r="O59">
        <v>96</v>
      </c>
    </row>
    <row r="60" spans="3:15" x14ac:dyDescent="0.2">
      <c r="C60">
        <v>6</v>
      </c>
      <c r="D60">
        <v>2</v>
      </c>
      <c r="E60" s="1">
        <v>3</v>
      </c>
      <c r="F60" s="1">
        <v>3</v>
      </c>
      <c r="G60" s="1">
        <v>3</v>
      </c>
      <c r="H60" s="1">
        <v>3</v>
      </c>
      <c r="I60" s="1">
        <v>3</v>
      </c>
      <c r="J60" s="1">
        <v>3</v>
      </c>
      <c r="K60" s="1">
        <v>3</v>
      </c>
      <c r="L60" s="1">
        <v>3</v>
      </c>
      <c r="M60" s="1">
        <v>3</v>
      </c>
      <c r="N60" s="1">
        <v>3</v>
      </c>
      <c r="O60">
        <v>96</v>
      </c>
    </row>
    <row r="61" spans="3:15" x14ac:dyDescent="0.2">
      <c r="C61">
        <v>6</v>
      </c>
      <c r="D61">
        <v>3</v>
      </c>
      <c r="E61" s="1">
        <v>3</v>
      </c>
      <c r="F61" s="1">
        <v>3</v>
      </c>
      <c r="G61" s="1">
        <v>3</v>
      </c>
      <c r="H61" s="1">
        <v>3</v>
      </c>
      <c r="I61" s="1">
        <v>3</v>
      </c>
      <c r="J61" s="1">
        <v>3</v>
      </c>
      <c r="K61" s="1">
        <v>3</v>
      </c>
      <c r="L61" s="1">
        <v>3</v>
      </c>
      <c r="M61" s="1">
        <v>3</v>
      </c>
      <c r="N61" s="1">
        <v>3</v>
      </c>
      <c r="O61">
        <v>96</v>
      </c>
    </row>
    <row r="62" spans="3:15" x14ac:dyDescent="0.2">
      <c r="C62">
        <v>6</v>
      </c>
      <c r="D62">
        <v>4</v>
      </c>
      <c r="E62" s="1">
        <v>3</v>
      </c>
      <c r="F62" s="1">
        <v>3</v>
      </c>
      <c r="G62" s="1">
        <v>3</v>
      </c>
      <c r="H62" s="1">
        <v>3</v>
      </c>
      <c r="I62" s="1">
        <v>3</v>
      </c>
      <c r="J62" s="1">
        <v>3</v>
      </c>
      <c r="K62" s="1">
        <v>3</v>
      </c>
      <c r="L62" s="1">
        <v>3</v>
      </c>
      <c r="M62" s="1">
        <v>3</v>
      </c>
      <c r="N62" s="1">
        <v>3</v>
      </c>
      <c r="O62">
        <v>96</v>
      </c>
    </row>
    <row r="65" spans="3:14" x14ac:dyDescent="0.2">
      <c r="C65" s="7" t="s">
        <v>61</v>
      </c>
      <c r="E65" s="8" t="s">
        <v>13</v>
      </c>
      <c r="F65" s="8" t="s">
        <v>14</v>
      </c>
      <c r="G65" s="8" t="s">
        <v>15</v>
      </c>
      <c r="H65" s="8" t="s">
        <v>16</v>
      </c>
      <c r="I65" s="8" t="s">
        <v>5</v>
      </c>
      <c r="J65" s="8" t="s">
        <v>17</v>
      </c>
      <c r="K65" s="8" t="s">
        <v>18</v>
      </c>
      <c r="L65" s="8" t="s">
        <v>9</v>
      </c>
      <c r="M65" s="8" t="s">
        <v>10</v>
      </c>
      <c r="N65" s="8" t="s">
        <v>11</v>
      </c>
    </row>
    <row r="66" spans="3:14" x14ac:dyDescent="0.2">
      <c r="C66" s="7" t="s">
        <v>62</v>
      </c>
      <c r="E66" s="10">
        <v>3</v>
      </c>
      <c r="F66" s="10">
        <v>3</v>
      </c>
      <c r="G66" s="10">
        <v>3</v>
      </c>
      <c r="H66" s="10">
        <v>3</v>
      </c>
      <c r="I66" s="10" t="s">
        <v>65</v>
      </c>
      <c r="J66" s="10" t="s">
        <v>65</v>
      </c>
      <c r="K66" s="10" t="s">
        <v>65</v>
      </c>
      <c r="L66" s="10" t="s">
        <v>65</v>
      </c>
      <c r="M66" s="10" t="s">
        <v>65</v>
      </c>
      <c r="N66" s="10" t="s">
        <v>65</v>
      </c>
    </row>
    <row r="67" spans="3:14" x14ac:dyDescent="0.2">
      <c r="C67" s="7" t="s">
        <v>63</v>
      </c>
      <c r="E67" s="9">
        <f>AVERAGE(Table3[Delivery_Organization])</f>
        <v>3</v>
      </c>
      <c r="F67" s="9">
        <f>AVERAGE(Table3[Delivery_Language/Enthusiasm/Eye contact])</f>
        <v>3</v>
      </c>
      <c r="G67" s="9">
        <f>AVERAGE(Table3[Delivery_Time/Equal distribution of work])</f>
        <v>3</v>
      </c>
      <c r="H67" s="9">
        <f>AVERAGE(Table3[Style_Clear graphs/figures/referencing/text])</f>
        <v>3</v>
      </c>
      <c r="I67" s="9">
        <f>AVERAGE(Table3[Introduction/market analysis])</f>
        <v>3</v>
      </c>
      <c r="J67" s="9">
        <f>AVERAGE(Table3[PFD/material balance/equipment sizing])</f>
        <v>2.9344262295081966</v>
      </c>
      <c r="K67" s="9">
        <f>AVERAGE(Table3[Safety and Environmental Hazards])</f>
        <v>3</v>
      </c>
      <c r="L67" s="9">
        <f>AVERAGE(Table3[Process Controls])</f>
        <v>3</v>
      </c>
      <c r="M67" s="9">
        <f>AVERAGE(Table3[Economic Analysis])</f>
        <v>3</v>
      </c>
      <c r="N67" s="9">
        <f>AVERAGE(Table3[Sensitivity Analysis and Recommendation])</f>
        <v>3</v>
      </c>
    </row>
    <row r="68" spans="3:14" x14ac:dyDescent="0.2">
      <c r="C68" s="7" t="s">
        <v>64</v>
      </c>
      <c r="E68" s="10">
        <f>STDEV(Table3[Delivery_Organization])</f>
        <v>0</v>
      </c>
      <c r="F68" s="10">
        <f>STDEV(Table3[Delivery_Language/Enthusiasm/Eye contact])</f>
        <v>0</v>
      </c>
      <c r="G68" s="10">
        <f>STDEV(Table3[Delivery_Time/Equal distribution of work])</f>
        <v>0</v>
      </c>
      <c r="H68" s="10">
        <f>STDEV(Table3[Style_Clear graphs/figures/referencing/text])</f>
        <v>0</v>
      </c>
      <c r="I68" s="10">
        <f>STDEV(Table3[Introduction/market analysis])</f>
        <v>0</v>
      </c>
      <c r="J68" s="10">
        <f>STDEV(Table3[PFD/material balance/equipment sizing])</f>
        <v>0.24958982745138703</v>
      </c>
      <c r="K68" s="10">
        <f>STDEV(Table3[Safety and Environmental Hazards])</f>
        <v>0</v>
      </c>
      <c r="L68" s="10">
        <f>STDEV(Table3[Process Controls])</f>
        <v>0</v>
      </c>
      <c r="M68" s="10">
        <f>STDEV(Table3[Economic Analysis])</f>
        <v>0</v>
      </c>
      <c r="N68" s="10">
        <f>STDEV(Table3[Sensitivity Analysis and Recommendation])</f>
        <v>0</v>
      </c>
    </row>
    <row r="69" spans="3:14" x14ac:dyDescent="0.2">
      <c r="C69" s="1"/>
    </row>
    <row r="70" spans="3:14" x14ac:dyDescent="0.2">
      <c r="C70" s="7" t="s">
        <v>71</v>
      </c>
      <c r="E70" s="7">
        <f>AVERAGE(E67:N67)</f>
        <v>2.9934426229508198</v>
      </c>
    </row>
    <row r="71" spans="3:14" x14ac:dyDescent="0.2">
      <c r="C71" s="7" t="s">
        <v>66</v>
      </c>
      <c r="E71" s="7">
        <f>AVERAGE(I67:N67)</f>
        <v>2.9890710382513661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8F5F-8988-424C-9538-2DB700619C17}">
  <dimension ref="B1:O72"/>
  <sheetViews>
    <sheetView topLeftCell="A49" workbookViewId="0">
      <selection activeCell="E75" sqref="E75"/>
    </sheetView>
  </sheetViews>
  <sheetFormatPr baseColWidth="10" defaultColWidth="8.83203125" defaultRowHeight="15" x14ac:dyDescent="0.2"/>
  <cols>
    <col min="2" max="15" width="11.6640625" customWidth="1"/>
  </cols>
  <sheetData>
    <row r="1" spans="2:15" x14ac:dyDescent="0.2">
      <c r="B1" t="s">
        <v>0</v>
      </c>
      <c r="C1" t="s">
        <v>1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12</v>
      </c>
    </row>
    <row r="2" spans="2:15" x14ac:dyDescent="0.2">
      <c r="B2">
        <v>2</v>
      </c>
      <c r="C2">
        <v>1</v>
      </c>
      <c r="D2">
        <v>3</v>
      </c>
      <c r="E2">
        <v>3</v>
      </c>
      <c r="F2" s="1">
        <v>3</v>
      </c>
      <c r="G2">
        <v>2</v>
      </c>
      <c r="H2">
        <v>2</v>
      </c>
      <c r="I2">
        <v>2</v>
      </c>
      <c r="J2">
        <v>1</v>
      </c>
      <c r="K2">
        <v>1</v>
      </c>
      <c r="L2">
        <v>1</v>
      </c>
      <c r="M2">
        <v>3</v>
      </c>
      <c r="N2">
        <v>3</v>
      </c>
      <c r="O2">
        <v>67.2</v>
      </c>
    </row>
    <row r="3" spans="2:15" x14ac:dyDescent="0.2">
      <c r="B3">
        <v>2</v>
      </c>
      <c r="C3">
        <v>2</v>
      </c>
      <c r="D3" s="1">
        <v>3</v>
      </c>
      <c r="E3" s="1">
        <v>3</v>
      </c>
      <c r="F3" s="1">
        <v>3</v>
      </c>
      <c r="G3">
        <v>2</v>
      </c>
      <c r="H3">
        <v>2</v>
      </c>
      <c r="I3" s="1">
        <v>2</v>
      </c>
      <c r="J3" s="1">
        <v>1</v>
      </c>
      <c r="K3" s="1">
        <v>1</v>
      </c>
      <c r="L3" s="1">
        <v>1</v>
      </c>
      <c r="M3" s="1">
        <v>3</v>
      </c>
      <c r="N3" s="1">
        <v>3</v>
      </c>
    </row>
    <row r="4" spans="2:15" x14ac:dyDescent="0.2">
      <c r="B4">
        <v>2</v>
      </c>
      <c r="C4">
        <v>3</v>
      </c>
      <c r="D4" s="1">
        <v>3</v>
      </c>
      <c r="E4" s="1">
        <v>3</v>
      </c>
      <c r="F4" s="1">
        <v>3</v>
      </c>
      <c r="G4">
        <v>2</v>
      </c>
      <c r="H4">
        <v>2</v>
      </c>
      <c r="I4" s="1">
        <v>2</v>
      </c>
      <c r="J4" s="1">
        <v>1</v>
      </c>
      <c r="K4" s="1">
        <v>1</v>
      </c>
      <c r="L4" s="1">
        <v>1</v>
      </c>
      <c r="M4" s="1">
        <v>3</v>
      </c>
      <c r="N4" s="1">
        <v>3</v>
      </c>
    </row>
    <row r="5" spans="2:15" x14ac:dyDescent="0.2">
      <c r="B5">
        <v>2</v>
      </c>
      <c r="C5">
        <v>4</v>
      </c>
      <c r="D5" s="1">
        <v>3</v>
      </c>
      <c r="E5" s="1">
        <v>3</v>
      </c>
      <c r="F5" s="1">
        <v>3</v>
      </c>
      <c r="G5">
        <v>2</v>
      </c>
      <c r="H5">
        <v>2</v>
      </c>
      <c r="I5" s="1">
        <v>2</v>
      </c>
      <c r="J5" s="1">
        <v>1</v>
      </c>
      <c r="K5" s="1">
        <v>1</v>
      </c>
      <c r="L5" s="1">
        <v>1</v>
      </c>
      <c r="M5" s="1">
        <v>3</v>
      </c>
      <c r="N5" s="1">
        <v>3</v>
      </c>
    </row>
    <row r="6" spans="2:15" x14ac:dyDescent="0.2">
      <c r="B6">
        <v>11</v>
      </c>
      <c r="C6">
        <v>1</v>
      </c>
      <c r="D6" s="1">
        <v>3</v>
      </c>
      <c r="E6" s="1">
        <v>3</v>
      </c>
      <c r="F6" s="1">
        <v>3</v>
      </c>
      <c r="G6">
        <v>3</v>
      </c>
      <c r="H6">
        <v>3</v>
      </c>
      <c r="I6" s="1">
        <v>2</v>
      </c>
      <c r="J6">
        <v>3</v>
      </c>
      <c r="K6">
        <v>2</v>
      </c>
      <c r="L6">
        <v>3</v>
      </c>
      <c r="M6" s="1">
        <v>3</v>
      </c>
      <c r="N6" s="1">
        <v>3</v>
      </c>
      <c r="O6">
        <v>90</v>
      </c>
    </row>
    <row r="7" spans="2:15" x14ac:dyDescent="0.2">
      <c r="B7">
        <v>11</v>
      </c>
      <c r="C7">
        <v>2</v>
      </c>
      <c r="D7" s="1">
        <v>3</v>
      </c>
      <c r="E7" s="1">
        <v>3</v>
      </c>
      <c r="F7" s="1">
        <v>3</v>
      </c>
      <c r="G7" s="1">
        <v>3</v>
      </c>
      <c r="H7" s="1">
        <v>3</v>
      </c>
      <c r="I7" s="1">
        <v>2</v>
      </c>
      <c r="J7" s="1">
        <v>3</v>
      </c>
      <c r="K7" s="1">
        <v>2</v>
      </c>
      <c r="L7" s="1">
        <v>3</v>
      </c>
      <c r="M7" s="1">
        <v>3</v>
      </c>
      <c r="N7" s="1">
        <v>3</v>
      </c>
    </row>
    <row r="8" spans="2:15" x14ac:dyDescent="0.2">
      <c r="B8">
        <v>11</v>
      </c>
      <c r="C8">
        <v>3</v>
      </c>
      <c r="D8" s="1">
        <v>3</v>
      </c>
      <c r="E8" s="1">
        <v>3</v>
      </c>
      <c r="F8" s="1">
        <v>3</v>
      </c>
      <c r="G8" s="1">
        <v>3</v>
      </c>
      <c r="H8" s="1">
        <v>3</v>
      </c>
      <c r="I8" s="1">
        <v>2</v>
      </c>
      <c r="J8" s="1">
        <v>3</v>
      </c>
      <c r="K8" s="1">
        <v>2</v>
      </c>
      <c r="L8" s="1">
        <v>3</v>
      </c>
      <c r="M8" s="1">
        <v>3</v>
      </c>
      <c r="N8" s="1">
        <v>3</v>
      </c>
    </row>
    <row r="9" spans="2:15" x14ac:dyDescent="0.2">
      <c r="B9">
        <v>11</v>
      </c>
      <c r="C9">
        <v>4</v>
      </c>
      <c r="D9" s="1">
        <v>3</v>
      </c>
      <c r="E9" s="1">
        <v>3</v>
      </c>
      <c r="F9" s="1">
        <v>3</v>
      </c>
      <c r="G9" s="1">
        <v>3</v>
      </c>
      <c r="H9" s="1">
        <v>3</v>
      </c>
      <c r="I9" s="1">
        <v>2</v>
      </c>
      <c r="J9" s="1">
        <v>3</v>
      </c>
      <c r="K9" s="1">
        <v>2</v>
      </c>
      <c r="L9" s="1">
        <v>3</v>
      </c>
      <c r="M9" s="1">
        <v>3</v>
      </c>
      <c r="N9" s="1">
        <v>3</v>
      </c>
    </row>
    <row r="10" spans="2:15" x14ac:dyDescent="0.2">
      <c r="B10">
        <v>12</v>
      </c>
      <c r="C10">
        <v>1</v>
      </c>
      <c r="D10" s="1">
        <v>3</v>
      </c>
      <c r="E10" s="1">
        <v>3</v>
      </c>
      <c r="F10" s="1">
        <v>3</v>
      </c>
      <c r="G10" s="1">
        <v>3</v>
      </c>
      <c r="H10" s="1">
        <v>3</v>
      </c>
      <c r="I10">
        <v>3</v>
      </c>
      <c r="J10">
        <v>1</v>
      </c>
      <c r="K10" s="1">
        <v>2</v>
      </c>
      <c r="L10" s="1">
        <v>3</v>
      </c>
      <c r="M10" s="1">
        <v>3</v>
      </c>
      <c r="N10" s="1">
        <v>3</v>
      </c>
      <c r="O10">
        <v>85.2</v>
      </c>
    </row>
    <row r="11" spans="2:15" x14ac:dyDescent="0.2">
      <c r="B11">
        <v>12</v>
      </c>
      <c r="C11">
        <v>2</v>
      </c>
      <c r="D11" s="1">
        <v>3</v>
      </c>
      <c r="E11" s="1">
        <v>3</v>
      </c>
      <c r="F11" s="1">
        <v>3</v>
      </c>
      <c r="G11" s="1">
        <v>3</v>
      </c>
      <c r="H11" s="1">
        <v>3</v>
      </c>
      <c r="I11" s="1">
        <v>3</v>
      </c>
      <c r="J11" s="1">
        <v>1</v>
      </c>
      <c r="K11" s="1">
        <v>2</v>
      </c>
      <c r="L11" s="1">
        <v>3</v>
      </c>
      <c r="M11" s="1">
        <v>3</v>
      </c>
      <c r="N11" s="1">
        <v>3</v>
      </c>
    </row>
    <row r="12" spans="2:15" x14ac:dyDescent="0.2">
      <c r="B12">
        <v>12</v>
      </c>
      <c r="C12">
        <v>3</v>
      </c>
      <c r="D12" s="1">
        <v>3</v>
      </c>
      <c r="E12" s="1">
        <v>3</v>
      </c>
      <c r="F12" s="1">
        <v>3</v>
      </c>
      <c r="G12" s="1">
        <v>3</v>
      </c>
      <c r="H12" s="1">
        <v>3</v>
      </c>
      <c r="I12" s="1">
        <v>3</v>
      </c>
      <c r="J12" s="1">
        <v>1</v>
      </c>
      <c r="K12" s="1">
        <v>2</v>
      </c>
      <c r="L12" s="1">
        <v>3</v>
      </c>
      <c r="M12" s="1">
        <v>3</v>
      </c>
      <c r="N12" s="1">
        <v>3</v>
      </c>
    </row>
    <row r="13" spans="2:15" x14ac:dyDescent="0.2">
      <c r="B13">
        <v>12</v>
      </c>
      <c r="C13">
        <v>4</v>
      </c>
      <c r="D13" s="1">
        <v>3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  <c r="J13" s="1">
        <v>1</v>
      </c>
      <c r="K13" s="1">
        <v>2</v>
      </c>
      <c r="L13" s="1">
        <v>3</v>
      </c>
      <c r="M13" s="1">
        <v>3</v>
      </c>
      <c r="N13" s="1">
        <v>3</v>
      </c>
    </row>
    <row r="14" spans="2:15" x14ac:dyDescent="0.2">
      <c r="B14">
        <v>14</v>
      </c>
      <c r="C14">
        <v>1</v>
      </c>
      <c r="D14" s="1">
        <v>3</v>
      </c>
      <c r="E14" s="1">
        <v>3</v>
      </c>
      <c r="F14" s="1">
        <v>3</v>
      </c>
      <c r="G14">
        <v>2</v>
      </c>
      <c r="H14" s="1">
        <v>3</v>
      </c>
      <c r="I14" s="1">
        <v>3</v>
      </c>
      <c r="J14">
        <v>2</v>
      </c>
      <c r="K14">
        <v>3</v>
      </c>
      <c r="L14">
        <v>2</v>
      </c>
      <c r="M14" s="1">
        <v>3</v>
      </c>
      <c r="N14">
        <v>2</v>
      </c>
      <c r="O14">
        <v>78.2</v>
      </c>
    </row>
    <row r="15" spans="2:15" x14ac:dyDescent="0.2">
      <c r="B15">
        <v>14</v>
      </c>
      <c r="C15">
        <v>2</v>
      </c>
      <c r="D15" s="1">
        <v>3</v>
      </c>
      <c r="E15" s="1">
        <v>3</v>
      </c>
      <c r="F15" s="1">
        <v>3</v>
      </c>
      <c r="G15">
        <v>2</v>
      </c>
      <c r="H15" s="1">
        <v>3</v>
      </c>
      <c r="I15" s="1">
        <v>3</v>
      </c>
      <c r="J15" s="1">
        <v>2</v>
      </c>
      <c r="K15" s="1">
        <v>3</v>
      </c>
      <c r="L15" s="1">
        <v>2</v>
      </c>
      <c r="M15" s="1">
        <v>3</v>
      </c>
      <c r="N15" s="1">
        <v>2</v>
      </c>
    </row>
    <row r="16" spans="2:15" x14ac:dyDescent="0.2">
      <c r="B16">
        <v>14</v>
      </c>
      <c r="C16">
        <v>3</v>
      </c>
      <c r="D16" s="1">
        <v>3</v>
      </c>
      <c r="E16" s="1">
        <v>3</v>
      </c>
      <c r="F16" s="1">
        <v>3</v>
      </c>
      <c r="G16">
        <v>2</v>
      </c>
      <c r="H16" s="1">
        <v>3</v>
      </c>
      <c r="I16" s="1">
        <v>3</v>
      </c>
      <c r="J16" s="1">
        <v>2</v>
      </c>
      <c r="K16" s="1">
        <v>3</v>
      </c>
      <c r="L16" s="1">
        <v>2</v>
      </c>
      <c r="M16" s="1">
        <v>3</v>
      </c>
      <c r="N16" s="1">
        <v>2</v>
      </c>
    </row>
    <row r="17" spans="2:15" x14ac:dyDescent="0.2">
      <c r="B17">
        <v>14</v>
      </c>
      <c r="C17">
        <v>4</v>
      </c>
      <c r="D17" s="1">
        <v>3</v>
      </c>
      <c r="E17" s="1">
        <v>3</v>
      </c>
      <c r="F17" s="1">
        <v>3</v>
      </c>
      <c r="G17">
        <v>2</v>
      </c>
      <c r="H17" s="1">
        <v>3</v>
      </c>
      <c r="I17" s="1">
        <v>3</v>
      </c>
      <c r="J17" s="1">
        <v>2</v>
      </c>
      <c r="K17" s="1">
        <v>3</v>
      </c>
      <c r="L17" s="1">
        <v>2</v>
      </c>
      <c r="M17" s="1">
        <v>3</v>
      </c>
      <c r="N17" s="1">
        <v>2</v>
      </c>
    </row>
    <row r="18" spans="2:15" x14ac:dyDescent="0.2">
      <c r="B18">
        <v>13</v>
      </c>
      <c r="C18">
        <v>1</v>
      </c>
      <c r="D18" s="1">
        <v>3</v>
      </c>
      <c r="E18" s="1">
        <v>3</v>
      </c>
      <c r="F18" s="1">
        <v>3</v>
      </c>
      <c r="G18">
        <v>3</v>
      </c>
      <c r="H18" s="1">
        <v>3</v>
      </c>
      <c r="I18" s="1">
        <v>3</v>
      </c>
      <c r="J18" s="1">
        <v>2</v>
      </c>
      <c r="K18" s="1">
        <v>3</v>
      </c>
      <c r="L18">
        <v>3</v>
      </c>
      <c r="M18" s="1">
        <v>3</v>
      </c>
      <c r="N18">
        <v>3</v>
      </c>
      <c r="O18">
        <v>94</v>
      </c>
    </row>
    <row r="19" spans="2:15" x14ac:dyDescent="0.2">
      <c r="B19">
        <v>13</v>
      </c>
      <c r="C19">
        <v>2</v>
      </c>
      <c r="D19" s="1">
        <v>3</v>
      </c>
      <c r="E19" s="1">
        <v>3</v>
      </c>
      <c r="F19" s="1">
        <v>3</v>
      </c>
      <c r="G19" s="1">
        <v>3</v>
      </c>
      <c r="H19" s="1">
        <v>3</v>
      </c>
      <c r="I19" s="1">
        <v>3</v>
      </c>
      <c r="J19" s="1">
        <v>2</v>
      </c>
      <c r="K19" s="1">
        <v>3</v>
      </c>
      <c r="L19" s="1">
        <v>3</v>
      </c>
      <c r="M19" s="1">
        <v>3</v>
      </c>
      <c r="N19" s="1">
        <v>3</v>
      </c>
    </row>
    <row r="20" spans="2:15" x14ac:dyDescent="0.2">
      <c r="B20">
        <v>13</v>
      </c>
      <c r="C20">
        <v>3</v>
      </c>
      <c r="D20" s="1">
        <v>3</v>
      </c>
      <c r="E20" s="1">
        <v>3</v>
      </c>
      <c r="F20" s="1">
        <v>3</v>
      </c>
      <c r="G20" s="1">
        <v>3</v>
      </c>
      <c r="H20" s="1">
        <v>3</v>
      </c>
      <c r="I20" s="1">
        <v>3</v>
      </c>
      <c r="J20" s="1">
        <v>2</v>
      </c>
      <c r="K20" s="1">
        <v>3</v>
      </c>
      <c r="L20" s="1">
        <v>3</v>
      </c>
      <c r="M20" s="1">
        <v>3</v>
      </c>
      <c r="N20" s="1">
        <v>3</v>
      </c>
    </row>
    <row r="21" spans="2:15" x14ac:dyDescent="0.2">
      <c r="B21">
        <v>13</v>
      </c>
      <c r="C21">
        <v>4</v>
      </c>
      <c r="D21" s="1">
        <v>3</v>
      </c>
      <c r="E21" s="1">
        <v>3</v>
      </c>
      <c r="F21" s="1">
        <v>3</v>
      </c>
      <c r="G21" s="1">
        <v>3</v>
      </c>
      <c r="H21" s="1">
        <v>3</v>
      </c>
      <c r="I21" s="1">
        <v>3</v>
      </c>
      <c r="J21" s="1">
        <v>2</v>
      </c>
      <c r="K21" s="1">
        <v>3</v>
      </c>
      <c r="L21" s="1">
        <v>3</v>
      </c>
      <c r="M21" s="1">
        <v>3</v>
      </c>
      <c r="N21" s="1">
        <v>3</v>
      </c>
    </row>
    <row r="22" spans="2:15" x14ac:dyDescent="0.2">
      <c r="B22">
        <v>6</v>
      </c>
      <c r="C22">
        <v>1</v>
      </c>
      <c r="D22" s="1">
        <v>3</v>
      </c>
      <c r="E22" s="1">
        <v>3</v>
      </c>
      <c r="F22" s="1">
        <v>3</v>
      </c>
      <c r="G22" s="1">
        <v>3</v>
      </c>
      <c r="H22" s="1">
        <v>3</v>
      </c>
      <c r="I22" s="1">
        <v>3</v>
      </c>
      <c r="J22">
        <v>3</v>
      </c>
      <c r="K22" s="1">
        <v>3</v>
      </c>
      <c r="L22" s="1">
        <v>3</v>
      </c>
      <c r="M22" s="1">
        <v>3</v>
      </c>
      <c r="N22" s="1">
        <v>3</v>
      </c>
      <c r="O22">
        <v>92</v>
      </c>
    </row>
    <row r="23" spans="2:15" x14ac:dyDescent="0.2">
      <c r="B23">
        <v>6</v>
      </c>
      <c r="C23">
        <v>2</v>
      </c>
      <c r="D23" s="1">
        <v>3</v>
      </c>
      <c r="E23" s="1">
        <v>3</v>
      </c>
      <c r="F23" s="1">
        <v>3</v>
      </c>
      <c r="G23" s="1">
        <v>3</v>
      </c>
      <c r="H23" s="1">
        <v>3</v>
      </c>
      <c r="I23" s="1">
        <v>3</v>
      </c>
      <c r="J23" s="1">
        <v>3</v>
      </c>
      <c r="K23" s="1">
        <v>3</v>
      </c>
      <c r="L23" s="1">
        <v>3</v>
      </c>
      <c r="M23" s="1">
        <v>3</v>
      </c>
      <c r="N23" s="1">
        <v>3</v>
      </c>
    </row>
    <row r="24" spans="2:15" x14ac:dyDescent="0.2">
      <c r="B24">
        <v>6</v>
      </c>
      <c r="C24">
        <v>3</v>
      </c>
      <c r="D24" s="1">
        <v>3</v>
      </c>
      <c r="E24" s="1">
        <v>3</v>
      </c>
      <c r="F24" s="1">
        <v>3</v>
      </c>
      <c r="G24" s="1">
        <v>3</v>
      </c>
      <c r="H24" s="1">
        <v>3</v>
      </c>
      <c r="I24" s="1">
        <v>3</v>
      </c>
      <c r="J24" s="1">
        <v>3</v>
      </c>
      <c r="K24" s="1">
        <v>3</v>
      </c>
      <c r="L24" s="1">
        <v>3</v>
      </c>
      <c r="M24" s="1">
        <v>3</v>
      </c>
      <c r="N24" s="1">
        <v>3</v>
      </c>
    </row>
    <row r="25" spans="2:15" x14ac:dyDescent="0.2">
      <c r="B25">
        <v>6</v>
      </c>
      <c r="C25">
        <v>4</v>
      </c>
      <c r="D25" s="1">
        <v>3</v>
      </c>
      <c r="E25" s="1">
        <v>3</v>
      </c>
      <c r="F25" s="1">
        <v>3</v>
      </c>
      <c r="G25" s="1">
        <v>3</v>
      </c>
      <c r="H25" s="1">
        <v>3</v>
      </c>
      <c r="I25" s="1">
        <v>3</v>
      </c>
      <c r="J25" s="1">
        <v>3</v>
      </c>
      <c r="K25" s="1">
        <v>3</v>
      </c>
      <c r="L25" s="1">
        <v>3</v>
      </c>
      <c r="M25" s="1">
        <v>3</v>
      </c>
      <c r="N25" s="1">
        <v>3</v>
      </c>
    </row>
    <row r="26" spans="2:15" x14ac:dyDescent="0.2">
      <c r="B26">
        <v>6</v>
      </c>
      <c r="C26">
        <v>5</v>
      </c>
      <c r="D26" s="1">
        <v>3</v>
      </c>
      <c r="E26" s="1">
        <v>3</v>
      </c>
      <c r="F26" s="1">
        <v>3</v>
      </c>
      <c r="G26" s="1">
        <v>3</v>
      </c>
      <c r="H26" s="1">
        <v>3</v>
      </c>
      <c r="I26" s="1">
        <v>3</v>
      </c>
      <c r="J26" s="1">
        <v>3</v>
      </c>
      <c r="K26" s="1">
        <v>3</v>
      </c>
      <c r="L26" s="1">
        <v>3</v>
      </c>
      <c r="M26" s="1">
        <v>3</v>
      </c>
      <c r="N26" s="1">
        <v>3</v>
      </c>
    </row>
    <row r="27" spans="2:15" x14ac:dyDescent="0.2">
      <c r="B27">
        <v>9</v>
      </c>
      <c r="C27">
        <v>1</v>
      </c>
      <c r="D27" s="1">
        <v>3</v>
      </c>
      <c r="E27" s="1">
        <v>3</v>
      </c>
      <c r="F27" s="1">
        <v>3</v>
      </c>
      <c r="G27" s="1">
        <v>3</v>
      </c>
      <c r="H27" s="1">
        <v>3</v>
      </c>
      <c r="I27" s="1">
        <v>3</v>
      </c>
      <c r="J27" s="1">
        <v>3</v>
      </c>
      <c r="K27">
        <v>1</v>
      </c>
      <c r="L27" s="1">
        <v>3</v>
      </c>
      <c r="M27" s="1">
        <v>3</v>
      </c>
      <c r="N27">
        <v>2</v>
      </c>
      <c r="O27">
        <v>84.2</v>
      </c>
    </row>
    <row r="28" spans="2:15" x14ac:dyDescent="0.2">
      <c r="B28">
        <v>9</v>
      </c>
      <c r="C28">
        <v>2</v>
      </c>
      <c r="D28" s="1">
        <v>3</v>
      </c>
      <c r="E28" s="1">
        <v>3</v>
      </c>
      <c r="F28" s="1">
        <v>3</v>
      </c>
      <c r="G28" s="1">
        <v>3</v>
      </c>
      <c r="H28" s="1">
        <v>3</v>
      </c>
      <c r="I28" s="1">
        <v>3</v>
      </c>
      <c r="J28" s="1">
        <v>3</v>
      </c>
      <c r="K28" s="1">
        <v>1</v>
      </c>
      <c r="L28" s="1">
        <v>3</v>
      </c>
      <c r="M28" s="1">
        <v>3</v>
      </c>
      <c r="N28" s="1">
        <v>2</v>
      </c>
    </row>
    <row r="29" spans="2:15" x14ac:dyDescent="0.2">
      <c r="B29">
        <v>9</v>
      </c>
      <c r="C29">
        <v>3</v>
      </c>
      <c r="D29" s="1">
        <v>3</v>
      </c>
      <c r="E29" s="1">
        <v>3</v>
      </c>
      <c r="F29" s="1">
        <v>3</v>
      </c>
      <c r="G29" s="1">
        <v>3</v>
      </c>
      <c r="H29" s="1">
        <v>3</v>
      </c>
      <c r="I29" s="1">
        <v>3</v>
      </c>
      <c r="J29" s="1">
        <v>3</v>
      </c>
      <c r="K29" s="1">
        <v>1</v>
      </c>
      <c r="L29" s="1">
        <v>3</v>
      </c>
      <c r="M29" s="1">
        <v>3</v>
      </c>
      <c r="N29" s="1">
        <v>2</v>
      </c>
    </row>
    <row r="30" spans="2:15" x14ac:dyDescent="0.2">
      <c r="B30">
        <v>9</v>
      </c>
      <c r="C30">
        <v>4</v>
      </c>
      <c r="D30" s="1">
        <v>3</v>
      </c>
      <c r="E30" s="1">
        <v>3</v>
      </c>
      <c r="F30" s="1">
        <v>3</v>
      </c>
      <c r="G30" s="1">
        <v>3</v>
      </c>
      <c r="H30" s="1">
        <v>3</v>
      </c>
      <c r="I30" s="1">
        <v>3</v>
      </c>
      <c r="J30" s="1">
        <v>3</v>
      </c>
      <c r="K30" s="1">
        <v>1</v>
      </c>
      <c r="L30" s="1">
        <v>3</v>
      </c>
      <c r="M30" s="1">
        <v>3</v>
      </c>
      <c r="N30" s="1">
        <v>2</v>
      </c>
    </row>
    <row r="31" spans="2:15" x14ac:dyDescent="0.2">
      <c r="B31">
        <v>3</v>
      </c>
      <c r="C31">
        <v>1</v>
      </c>
      <c r="D31" s="1">
        <v>3</v>
      </c>
      <c r="E31" s="1">
        <v>3</v>
      </c>
      <c r="F31" s="1">
        <v>3</v>
      </c>
      <c r="G31">
        <v>1</v>
      </c>
      <c r="H31" s="1">
        <v>3</v>
      </c>
      <c r="I31" s="1">
        <v>3</v>
      </c>
      <c r="J31">
        <v>1</v>
      </c>
      <c r="K31" s="1">
        <v>1</v>
      </c>
      <c r="L31">
        <v>1</v>
      </c>
      <c r="M31">
        <v>2</v>
      </c>
      <c r="N31">
        <v>3</v>
      </c>
      <c r="O31">
        <v>66.2</v>
      </c>
    </row>
    <row r="32" spans="2:15" x14ac:dyDescent="0.2">
      <c r="B32">
        <v>3</v>
      </c>
      <c r="C32">
        <v>2</v>
      </c>
      <c r="D32" s="1">
        <v>3</v>
      </c>
      <c r="E32" s="1">
        <v>3</v>
      </c>
      <c r="F32" s="1">
        <v>3</v>
      </c>
      <c r="G32">
        <v>1</v>
      </c>
      <c r="H32" s="1">
        <v>3</v>
      </c>
      <c r="I32" s="1">
        <v>3</v>
      </c>
      <c r="J32" s="1">
        <v>1</v>
      </c>
      <c r="K32" s="1">
        <v>1</v>
      </c>
      <c r="L32" s="1">
        <v>1</v>
      </c>
      <c r="M32" s="1">
        <v>2</v>
      </c>
      <c r="N32" s="1">
        <v>3</v>
      </c>
    </row>
    <row r="33" spans="2:15" x14ac:dyDescent="0.2">
      <c r="B33">
        <v>3</v>
      </c>
      <c r="C33">
        <v>3</v>
      </c>
      <c r="D33" s="1">
        <v>3</v>
      </c>
      <c r="E33" s="1">
        <v>3</v>
      </c>
      <c r="F33" s="1">
        <v>3</v>
      </c>
      <c r="G33">
        <v>1</v>
      </c>
      <c r="H33" s="1">
        <v>3</v>
      </c>
      <c r="I33" s="1">
        <v>3</v>
      </c>
      <c r="J33" s="1">
        <v>1</v>
      </c>
      <c r="K33" s="1">
        <v>1</v>
      </c>
      <c r="L33" s="1">
        <v>1</v>
      </c>
      <c r="M33" s="1">
        <v>2</v>
      </c>
      <c r="N33" s="1">
        <v>3</v>
      </c>
    </row>
    <row r="34" spans="2:15" x14ac:dyDescent="0.2">
      <c r="B34">
        <v>3</v>
      </c>
      <c r="C34">
        <v>4</v>
      </c>
      <c r="D34" s="1">
        <v>3</v>
      </c>
      <c r="E34" s="1">
        <v>3</v>
      </c>
      <c r="F34" s="1">
        <v>3</v>
      </c>
      <c r="G34">
        <v>1</v>
      </c>
      <c r="H34" s="1">
        <v>3</v>
      </c>
      <c r="I34" s="1">
        <v>3</v>
      </c>
      <c r="J34" s="1">
        <v>1</v>
      </c>
      <c r="K34" s="1">
        <v>1</v>
      </c>
      <c r="L34" s="1">
        <v>1</v>
      </c>
      <c r="M34" s="1">
        <v>2</v>
      </c>
      <c r="N34" s="1">
        <v>3</v>
      </c>
    </row>
    <row r="35" spans="2:15" x14ac:dyDescent="0.2">
      <c r="B35">
        <v>15</v>
      </c>
      <c r="C35">
        <v>1</v>
      </c>
      <c r="D35" s="1">
        <v>3</v>
      </c>
      <c r="E35" s="1">
        <v>3</v>
      </c>
      <c r="F35" s="1">
        <v>3</v>
      </c>
      <c r="G35">
        <v>3</v>
      </c>
      <c r="H35" s="1">
        <v>3</v>
      </c>
      <c r="I35">
        <v>2</v>
      </c>
      <c r="J35">
        <v>3</v>
      </c>
      <c r="K35">
        <v>3</v>
      </c>
      <c r="L35">
        <v>3</v>
      </c>
      <c r="M35">
        <v>3</v>
      </c>
      <c r="N35" s="1">
        <v>3</v>
      </c>
      <c r="O35">
        <v>92.4</v>
      </c>
    </row>
    <row r="36" spans="2:15" x14ac:dyDescent="0.2">
      <c r="B36">
        <v>15</v>
      </c>
      <c r="C36">
        <v>2</v>
      </c>
      <c r="D36" s="1">
        <v>3</v>
      </c>
      <c r="E36" s="1">
        <v>3</v>
      </c>
      <c r="F36" s="1">
        <v>3</v>
      </c>
      <c r="G36" s="1">
        <v>3</v>
      </c>
      <c r="H36" s="1">
        <v>3</v>
      </c>
      <c r="I36" s="1">
        <v>2</v>
      </c>
      <c r="J36" s="1">
        <v>3</v>
      </c>
      <c r="K36" s="1">
        <v>3</v>
      </c>
      <c r="L36" s="1">
        <v>3</v>
      </c>
      <c r="M36" s="1">
        <v>3</v>
      </c>
      <c r="N36" s="1">
        <v>3</v>
      </c>
    </row>
    <row r="37" spans="2:15" x14ac:dyDescent="0.2">
      <c r="B37">
        <v>15</v>
      </c>
      <c r="C37">
        <v>3</v>
      </c>
      <c r="D37" s="1">
        <v>3</v>
      </c>
      <c r="E37" s="1">
        <v>3</v>
      </c>
      <c r="F37" s="1">
        <v>3</v>
      </c>
      <c r="G37" s="1">
        <v>3</v>
      </c>
      <c r="H37" s="1">
        <v>3</v>
      </c>
      <c r="I37" s="1">
        <v>2</v>
      </c>
      <c r="J37" s="1">
        <v>3</v>
      </c>
      <c r="K37" s="1">
        <v>3</v>
      </c>
      <c r="L37" s="1">
        <v>3</v>
      </c>
      <c r="M37" s="1">
        <v>3</v>
      </c>
      <c r="N37" s="1">
        <v>3</v>
      </c>
    </row>
    <row r="38" spans="2:15" x14ac:dyDescent="0.2">
      <c r="B38">
        <v>4</v>
      </c>
      <c r="C38">
        <v>1</v>
      </c>
      <c r="D38" s="1">
        <v>3</v>
      </c>
      <c r="E38" s="1">
        <v>3</v>
      </c>
      <c r="F38" s="1">
        <v>3</v>
      </c>
      <c r="G38" s="1">
        <v>3</v>
      </c>
      <c r="H38">
        <v>2</v>
      </c>
      <c r="I38">
        <v>3</v>
      </c>
      <c r="J38" s="1">
        <v>3</v>
      </c>
      <c r="K38" s="1">
        <v>3</v>
      </c>
      <c r="L38" s="1">
        <v>3</v>
      </c>
      <c r="M38" s="1">
        <v>3</v>
      </c>
      <c r="N38" s="1">
        <v>3</v>
      </c>
      <c r="O38">
        <v>88.4</v>
      </c>
    </row>
    <row r="39" spans="2:15" x14ac:dyDescent="0.2">
      <c r="B39">
        <v>4</v>
      </c>
      <c r="C39">
        <v>2</v>
      </c>
      <c r="D39" s="1">
        <v>3</v>
      </c>
      <c r="E39" s="1">
        <v>3</v>
      </c>
      <c r="F39" s="1">
        <v>3</v>
      </c>
      <c r="G39" s="1">
        <v>3</v>
      </c>
      <c r="H39">
        <v>2</v>
      </c>
      <c r="I39" s="1">
        <v>3</v>
      </c>
      <c r="J39" s="1">
        <v>3</v>
      </c>
      <c r="K39" s="1">
        <v>3</v>
      </c>
      <c r="L39" s="1">
        <v>3</v>
      </c>
      <c r="M39" s="1">
        <v>3</v>
      </c>
      <c r="N39" s="1">
        <v>3</v>
      </c>
    </row>
    <row r="40" spans="2:15" x14ac:dyDescent="0.2">
      <c r="B40">
        <v>4</v>
      </c>
      <c r="C40">
        <v>3</v>
      </c>
      <c r="D40" s="1">
        <v>3</v>
      </c>
      <c r="E40" s="1">
        <v>3</v>
      </c>
      <c r="F40" s="1">
        <v>3</v>
      </c>
      <c r="G40" s="1">
        <v>3</v>
      </c>
      <c r="H40">
        <v>2</v>
      </c>
      <c r="I40" s="1">
        <v>3</v>
      </c>
      <c r="J40" s="1">
        <v>3</v>
      </c>
      <c r="K40" s="1">
        <v>3</v>
      </c>
      <c r="L40" s="1">
        <v>3</v>
      </c>
      <c r="M40" s="1">
        <v>3</v>
      </c>
      <c r="N40" s="1">
        <v>3</v>
      </c>
    </row>
    <row r="41" spans="2:15" x14ac:dyDescent="0.2">
      <c r="B41">
        <v>4</v>
      </c>
      <c r="C41">
        <v>4</v>
      </c>
      <c r="D41" s="1">
        <v>3</v>
      </c>
      <c r="E41" s="1">
        <v>3</v>
      </c>
      <c r="F41" s="1">
        <v>3</v>
      </c>
      <c r="G41" s="1">
        <v>3</v>
      </c>
      <c r="H41">
        <v>2</v>
      </c>
      <c r="I41" s="1">
        <v>3</v>
      </c>
      <c r="J41" s="1">
        <v>3</v>
      </c>
      <c r="K41" s="1">
        <v>3</v>
      </c>
      <c r="L41" s="1">
        <v>3</v>
      </c>
      <c r="M41" s="1">
        <v>3</v>
      </c>
      <c r="N41" s="1">
        <v>3</v>
      </c>
    </row>
    <row r="42" spans="2:15" x14ac:dyDescent="0.2">
      <c r="B42">
        <v>8</v>
      </c>
      <c r="C42">
        <v>1</v>
      </c>
      <c r="D42" s="1">
        <v>3</v>
      </c>
      <c r="E42" s="1">
        <v>3</v>
      </c>
      <c r="F42" s="1">
        <v>3</v>
      </c>
      <c r="G42" s="1">
        <v>3</v>
      </c>
      <c r="H42">
        <v>3</v>
      </c>
      <c r="I42" s="1">
        <v>3</v>
      </c>
      <c r="J42" s="1">
        <v>3</v>
      </c>
      <c r="K42" s="1">
        <v>3</v>
      </c>
      <c r="L42" s="1">
        <v>3</v>
      </c>
      <c r="M42" s="1">
        <v>3</v>
      </c>
      <c r="N42">
        <v>1</v>
      </c>
      <c r="O42">
        <v>91.6</v>
      </c>
    </row>
    <row r="43" spans="2:15" x14ac:dyDescent="0.2">
      <c r="B43">
        <v>8</v>
      </c>
      <c r="C43">
        <v>2</v>
      </c>
      <c r="D43" s="1">
        <v>3</v>
      </c>
      <c r="E43" s="1">
        <v>3</v>
      </c>
      <c r="F43" s="1">
        <v>3</v>
      </c>
      <c r="G43" s="1">
        <v>3</v>
      </c>
      <c r="H43" s="1">
        <v>3</v>
      </c>
      <c r="I43" s="1">
        <v>3</v>
      </c>
      <c r="J43" s="1">
        <v>3</v>
      </c>
      <c r="K43" s="1">
        <v>3</v>
      </c>
      <c r="L43" s="1">
        <v>3</v>
      </c>
      <c r="M43" s="1">
        <v>3</v>
      </c>
      <c r="N43" s="1">
        <v>1</v>
      </c>
    </row>
    <row r="44" spans="2:15" x14ac:dyDescent="0.2">
      <c r="B44">
        <v>8</v>
      </c>
      <c r="C44">
        <v>3</v>
      </c>
      <c r="D44" s="1">
        <v>3</v>
      </c>
      <c r="E44" s="1">
        <v>3</v>
      </c>
      <c r="F44" s="1">
        <v>3</v>
      </c>
      <c r="G44" s="1">
        <v>3</v>
      </c>
      <c r="H44" s="1">
        <v>3</v>
      </c>
      <c r="I44" s="1">
        <v>3</v>
      </c>
      <c r="J44" s="1">
        <v>3</v>
      </c>
      <c r="K44" s="1">
        <v>3</v>
      </c>
      <c r="L44" s="1">
        <v>3</v>
      </c>
      <c r="M44" s="1">
        <v>3</v>
      </c>
      <c r="N44" s="1">
        <v>1</v>
      </c>
    </row>
    <row r="45" spans="2:15" x14ac:dyDescent="0.2">
      <c r="B45">
        <v>8</v>
      </c>
      <c r="C45">
        <v>4</v>
      </c>
      <c r="D45" s="1">
        <v>3</v>
      </c>
      <c r="E45" s="1">
        <v>3</v>
      </c>
      <c r="F45" s="1">
        <v>3</v>
      </c>
      <c r="G45" s="1">
        <v>3</v>
      </c>
      <c r="H45" s="1">
        <v>3</v>
      </c>
      <c r="I45" s="1">
        <v>3</v>
      </c>
      <c r="J45" s="1">
        <v>3</v>
      </c>
      <c r="K45" s="1">
        <v>3</v>
      </c>
      <c r="L45" s="1">
        <v>3</v>
      </c>
      <c r="M45" s="1">
        <v>3</v>
      </c>
      <c r="N45" s="1">
        <v>1</v>
      </c>
    </row>
    <row r="46" spans="2:15" x14ac:dyDescent="0.2">
      <c r="B46">
        <v>7</v>
      </c>
      <c r="C46">
        <v>1</v>
      </c>
      <c r="D46" s="1">
        <v>3</v>
      </c>
      <c r="E46" s="1">
        <v>3</v>
      </c>
      <c r="F46" s="1">
        <v>3</v>
      </c>
      <c r="G46">
        <v>2</v>
      </c>
      <c r="H46" s="1">
        <v>3</v>
      </c>
      <c r="I46" s="1">
        <v>3</v>
      </c>
      <c r="J46" s="1">
        <v>3</v>
      </c>
      <c r="K46">
        <v>2</v>
      </c>
      <c r="L46" s="1">
        <v>3</v>
      </c>
      <c r="M46" s="1">
        <v>3</v>
      </c>
      <c r="N46">
        <v>3</v>
      </c>
      <c r="O46">
        <v>83.6</v>
      </c>
    </row>
    <row r="47" spans="2:15" x14ac:dyDescent="0.2">
      <c r="B47">
        <v>7</v>
      </c>
      <c r="C47">
        <v>2</v>
      </c>
      <c r="D47" s="1">
        <v>3</v>
      </c>
      <c r="E47" s="1">
        <v>3</v>
      </c>
      <c r="F47" s="1">
        <v>3</v>
      </c>
      <c r="G47">
        <v>2</v>
      </c>
      <c r="H47" s="1">
        <v>3</v>
      </c>
      <c r="I47" s="1">
        <v>3</v>
      </c>
      <c r="J47" s="1">
        <v>3</v>
      </c>
      <c r="K47" s="1">
        <v>2</v>
      </c>
      <c r="L47" s="1">
        <v>3</v>
      </c>
      <c r="M47" s="1">
        <v>3</v>
      </c>
      <c r="N47" s="1">
        <v>3</v>
      </c>
    </row>
    <row r="48" spans="2:15" x14ac:dyDescent="0.2">
      <c r="B48">
        <v>7</v>
      </c>
      <c r="C48">
        <v>3</v>
      </c>
      <c r="D48" s="1">
        <v>3</v>
      </c>
      <c r="E48" s="1">
        <v>3</v>
      </c>
      <c r="F48" s="1">
        <v>3</v>
      </c>
      <c r="G48">
        <v>2</v>
      </c>
      <c r="H48" s="1">
        <v>3</v>
      </c>
      <c r="I48" s="1">
        <v>3</v>
      </c>
      <c r="J48" s="1">
        <v>3</v>
      </c>
      <c r="K48" s="1">
        <v>2</v>
      </c>
      <c r="L48" s="1">
        <v>3</v>
      </c>
      <c r="M48" s="1">
        <v>3</v>
      </c>
      <c r="N48" s="1">
        <v>3</v>
      </c>
    </row>
    <row r="49" spans="2:15" x14ac:dyDescent="0.2">
      <c r="B49">
        <v>7</v>
      </c>
      <c r="C49">
        <v>4</v>
      </c>
      <c r="D49" s="1">
        <v>3</v>
      </c>
      <c r="E49" s="1">
        <v>3</v>
      </c>
      <c r="F49" s="1">
        <v>3</v>
      </c>
      <c r="G49">
        <v>2</v>
      </c>
      <c r="H49" s="1">
        <v>3</v>
      </c>
      <c r="I49" s="1">
        <v>3</v>
      </c>
      <c r="J49" s="1">
        <v>3</v>
      </c>
      <c r="K49" s="1">
        <v>2</v>
      </c>
      <c r="L49" s="1">
        <v>3</v>
      </c>
      <c r="M49" s="1">
        <v>3</v>
      </c>
      <c r="N49" s="1">
        <v>3</v>
      </c>
    </row>
    <row r="50" spans="2:15" x14ac:dyDescent="0.2">
      <c r="B50">
        <v>7</v>
      </c>
      <c r="C50">
        <v>5</v>
      </c>
      <c r="D50" s="1">
        <v>3</v>
      </c>
      <c r="E50" s="1">
        <v>3</v>
      </c>
      <c r="F50" s="1">
        <v>3</v>
      </c>
      <c r="G50">
        <v>2</v>
      </c>
      <c r="H50" s="1">
        <v>3</v>
      </c>
      <c r="I50" s="1">
        <v>3</v>
      </c>
      <c r="J50" s="1">
        <v>3</v>
      </c>
      <c r="K50" s="1">
        <v>2</v>
      </c>
      <c r="L50" s="1">
        <v>3</v>
      </c>
      <c r="M50" s="1">
        <v>3</v>
      </c>
      <c r="N50" s="1">
        <v>3</v>
      </c>
    </row>
    <row r="51" spans="2:15" x14ac:dyDescent="0.2">
      <c r="B51">
        <v>5</v>
      </c>
      <c r="C51">
        <v>1</v>
      </c>
      <c r="D51" s="1">
        <v>3</v>
      </c>
      <c r="E51" s="1">
        <v>3</v>
      </c>
      <c r="F51" s="1">
        <v>3</v>
      </c>
      <c r="G51">
        <v>3</v>
      </c>
      <c r="H51" s="1">
        <v>3</v>
      </c>
      <c r="I51" s="1">
        <v>3</v>
      </c>
      <c r="J51" s="1">
        <v>3</v>
      </c>
      <c r="K51">
        <v>1</v>
      </c>
      <c r="L51">
        <v>2</v>
      </c>
      <c r="M51" s="1">
        <v>3</v>
      </c>
      <c r="N51" s="1">
        <v>3</v>
      </c>
      <c r="O51">
        <v>83.4</v>
      </c>
    </row>
    <row r="52" spans="2:15" x14ac:dyDescent="0.2">
      <c r="B52">
        <v>5</v>
      </c>
      <c r="C52">
        <v>2</v>
      </c>
      <c r="D52" s="1">
        <v>3</v>
      </c>
      <c r="E52" s="1">
        <v>3</v>
      </c>
      <c r="F52" s="1">
        <v>3</v>
      </c>
      <c r="G52" s="1">
        <v>3</v>
      </c>
      <c r="H52" s="1">
        <v>3</v>
      </c>
      <c r="I52" s="1">
        <v>3</v>
      </c>
      <c r="J52" s="1">
        <v>3</v>
      </c>
      <c r="K52" s="1">
        <v>1</v>
      </c>
      <c r="L52" s="1">
        <v>2</v>
      </c>
      <c r="M52" s="1">
        <v>3</v>
      </c>
      <c r="N52" s="1">
        <v>3</v>
      </c>
    </row>
    <row r="53" spans="2:15" x14ac:dyDescent="0.2">
      <c r="B53">
        <v>5</v>
      </c>
      <c r="C53">
        <v>3</v>
      </c>
      <c r="D53" s="1">
        <v>3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3</v>
      </c>
      <c r="K53" s="1">
        <v>1</v>
      </c>
      <c r="L53" s="1">
        <v>2</v>
      </c>
      <c r="M53" s="1">
        <v>3</v>
      </c>
      <c r="N53" s="1">
        <v>3</v>
      </c>
    </row>
    <row r="54" spans="2:15" x14ac:dyDescent="0.2">
      <c r="B54">
        <v>5</v>
      </c>
      <c r="C54">
        <v>4</v>
      </c>
      <c r="D54" s="1">
        <v>3</v>
      </c>
      <c r="E54" s="1">
        <v>3</v>
      </c>
      <c r="F54" s="1">
        <v>3</v>
      </c>
      <c r="G54" s="1">
        <v>3</v>
      </c>
      <c r="H54" s="1">
        <v>3</v>
      </c>
      <c r="I54" s="1">
        <v>3</v>
      </c>
      <c r="J54" s="1">
        <v>3</v>
      </c>
      <c r="K54" s="1">
        <v>1</v>
      </c>
      <c r="L54" s="1">
        <v>2</v>
      </c>
      <c r="M54" s="1">
        <v>3</v>
      </c>
      <c r="N54" s="1">
        <v>3</v>
      </c>
    </row>
    <row r="55" spans="2:15" x14ac:dyDescent="0.2">
      <c r="B55">
        <v>1</v>
      </c>
      <c r="C55">
        <v>1</v>
      </c>
      <c r="D55" s="1">
        <v>3</v>
      </c>
      <c r="E55" s="1">
        <v>3</v>
      </c>
      <c r="F55" s="1">
        <v>3</v>
      </c>
      <c r="G55" s="1">
        <v>3</v>
      </c>
      <c r="H55" s="1">
        <v>3</v>
      </c>
      <c r="I55" s="1">
        <v>3</v>
      </c>
      <c r="J55" s="1">
        <v>3</v>
      </c>
      <c r="K55">
        <v>2</v>
      </c>
      <c r="L55">
        <v>3</v>
      </c>
      <c r="M55" s="1">
        <v>3</v>
      </c>
      <c r="N55">
        <v>2</v>
      </c>
      <c r="O55">
        <v>85.6</v>
      </c>
    </row>
    <row r="56" spans="2:15" x14ac:dyDescent="0.2">
      <c r="B56">
        <v>1</v>
      </c>
      <c r="C56">
        <v>2</v>
      </c>
      <c r="D56" s="1">
        <v>3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  <c r="J56" s="1">
        <v>3</v>
      </c>
      <c r="K56" s="1">
        <v>2</v>
      </c>
      <c r="L56" s="1">
        <v>3</v>
      </c>
      <c r="M56" s="1">
        <v>3</v>
      </c>
      <c r="N56" s="1">
        <v>2</v>
      </c>
    </row>
    <row r="57" spans="2:15" x14ac:dyDescent="0.2">
      <c r="B57">
        <v>1</v>
      </c>
      <c r="C57">
        <v>3</v>
      </c>
      <c r="D57" s="1">
        <v>3</v>
      </c>
      <c r="E57" s="1">
        <v>3</v>
      </c>
      <c r="F57" s="1">
        <v>3</v>
      </c>
      <c r="G57" s="1">
        <v>3</v>
      </c>
      <c r="H57" s="1">
        <v>3</v>
      </c>
      <c r="I57" s="1">
        <v>3</v>
      </c>
      <c r="J57" s="1">
        <v>3</v>
      </c>
      <c r="K57" s="1">
        <v>2</v>
      </c>
      <c r="L57" s="1">
        <v>3</v>
      </c>
      <c r="M57" s="1">
        <v>3</v>
      </c>
      <c r="N57" s="1">
        <v>2</v>
      </c>
    </row>
    <row r="58" spans="2:15" x14ac:dyDescent="0.2">
      <c r="B58">
        <v>1</v>
      </c>
      <c r="C58">
        <v>4</v>
      </c>
      <c r="D58" s="1">
        <v>3</v>
      </c>
      <c r="E58" s="1">
        <v>3</v>
      </c>
      <c r="F58" s="1">
        <v>3</v>
      </c>
      <c r="G58" s="1">
        <v>3</v>
      </c>
      <c r="H58" s="1">
        <v>3</v>
      </c>
      <c r="I58" s="1">
        <v>3</v>
      </c>
      <c r="J58" s="1">
        <v>3</v>
      </c>
      <c r="K58" s="1">
        <v>2</v>
      </c>
      <c r="L58" s="1">
        <v>3</v>
      </c>
      <c r="M58" s="1">
        <v>3</v>
      </c>
      <c r="N58" s="1">
        <v>2</v>
      </c>
    </row>
    <row r="59" spans="2:15" x14ac:dyDescent="0.2">
      <c r="B59" s="1">
        <v>10</v>
      </c>
      <c r="C59" s="1">
        <v>1</v>
      </c>
      <c r="D59" s="1">
        <v>3</v>
      </c>
      <c r="E59" s="1">
        <v>3</v>
      </c>
      <c r="F59" s="1">
        <v>3</v>
      </c>
      <c r="G59" s="1">
        <v>3</v>
      </c>
      <c r="H59" s="1">
        <v>2</v>
      </c>
      <c r="I59" s="1">
        <v>2</v>
      </c>
      <c r="J59" s="1">
        <v>3</v>
      </c>
      <c r="K59" s="1">
        <v>2</v>
      </c>
      <c r="L59" s="1">
        <v>3</v>
      </c>
      <c r="M59" s="1">
        <v>3</v>
      </c>
      <c r="N59" s="1">
        <v>3</v>
      </c>
      <c r="O59">
        <v>84.2</v>
      </c>
    </row>
    <row r="60" spans="2:15" x14ac:dyDescent="0.2">
      <c r="B60" s="1">
        <v>10</v>
      </c>
      <c r="C60" s="1">
        <v>2</v>
      </c>
      <c r="D60" s="1">
        <v>3</v>
      </c>
      <c r="E60" s="1">
        <v>3</v>
      </c>
      <c r="F60" s="1">
        <v>3</v>
      </c>
      <c r="G60" s="1">
        <v>3</v>
      </c>
      <c r="H60" s="1">
        <v>2</v>
      </c>
      <c r="I60" s="1">
        <v>2</v>
      </c>
      <c r="J60" s="1">
        <v>3</v>
      </c>
      <c r="K60" s="1">
        <v>2</v>
      </c>
      <c r="L60" s="1">
        <v>3</v>
      </c>
      <c r="M60" s="1">
        <v>3</v>
      </c>
      <c r="N60" s="1">
        <v>3</v>
      </c>
      <c r="O60" s="1"/>
    </row>
    <row r="61" spans="2:15" x14ac:dyDescent="0.2">
      <c r="B61" s="1">
        <v>10</v>
      </c>
      <c r="C61" s="1">
        <v>3</v>
      </c>
      <c r="D61" s="1">
        <v>3</v>
      </c>
      <c r="E61" s="1">
        <v>3</v>
      </c>
      <c r="F61" s="1">
        <v>3</v>
      </c>
      <c r="G61" s="1">
        <v>3</v>
      </c>
      <c r="H61" s="1">
        <v>2</v>
      </c>
      <c r="I61" s="1">
        <v>2</v>
      </c>
      <c r="J61" s="1">
        <v>3</v>
      </c>
      <c r="K61" s="1">
        <v>2</v>
      </c>
      <c r="L61" s="1">
        <v>3</v>
      </c>
      <c r="M61" s="1">
        <v>3</v>
      </c>
      <c r="N61" s="1">
        <v>3</v>
      </c>
      <c r="O61" s="1"/>
    </row>
    <row r="62" spans="2:15" x14ac:dyDescent="0.2">
      <c r="B62" s="1">
        <v>10</v>
      </c>
      <c r="C62" s="1">
        <v>4</v>
      </c>
      <c r="D62" s="1">
        <v>3</v>
      </c>
      <c r="E62" s="1">
        <v>3</v>
      </c>
      <c r="F62" s="1">
        <v>3</v>
      </c>
      <c r="G62" s="1">
        <v>3</v>
      </c>
      <c r="H62" s="1">
        <v>2</v>
      </c>
      <c r="I62" s="1">
        <v>2</v>
      </c>
      <c r="J62" s="1">
        <v>3</v>
      </c>
      <c r="K62" s="1">
        <v>2</v>
      </c>
      <c r="L62" s="1">
        <v>3</v>
      </c>
      <c r="M62" s="1">
        <v>3</v>
      </c>
      <c r="N62" s="1">
        <v>3</v>
      </c>
      <c r="O62" s="1"/>
    </row>
    <row r="66" spans="2:14" x14ac:dyDescent="0.2">
      <c r="B66" s="11" t="s">
        <v>61</v>
      </c>
      <c r="D66" s="13" t="s">
        <v>19</v>
      </c>
      <c r="E66" s="13" t="s">
        <v>20</v>
      </c>
      <c r="F66" s="13" t="s">
        <v>21</v>
      </c>
      <c r="G66" s="13" t="s">
        <v>22</v>
      </c>
      <c r="H66" s="13" t="s">
        <v>23</v>
      </c>
      <c r="I66" s="13" t="s">
        <v>24</v>
      </c>
      <c r="J66" s="13" t="s">
        <v>25</v>
      </c>
      <c r="K66" s="13" t="s">
        <v>26</v>
      </c>
      <c r="L66" s="13" t="s">
        <v>27</v>
      </c>
      <c r="M66" s="13" t="s">
        <v>28</v>
      </c>
      <c r="N66" s="13" t="s">
        <v>29</v>
      </c>
    </row>
    <row r="67" spans="2:14" x14ac:dyDescent="0.2">
      <c r="B67" s="11" t="s">
        <v>62</v>
      </c>
      <c r="D67" s="14">
        <v>3</v>
      </c>
      <c r="E67" s="14">
        <v>3</v>
      </c>
      <c r="F67" s="14">
        <v>3</v>
      </c>
      <c r="G67" s="14">
        <v>3</v>
      </c>
      <c r="H67" s="14">
        <v>3</v>
      </c>
      <c r="I67" s="14" t="s">
        <v>65</v>
      </c>
      <c r="J67" s="14" t="s">
        <v>65</v>
      </c>
      <c r="K67" s="14" t="s">
        <v>65</v>
      </c>
      <c r="L67" s="14" t="s">
        <v>65</v>
      </c>
      <c r="M67" s="14" t="s">
        <v>65</v>
      </c>
      <c r="N67" s="14" t="s">
        <v>65</v>
      </c>
    </row>
    <row r="68" spans="2:14" x14ac:dyDescent="0.2">
      <c r="B68" s="11" t="s">
        <v>63</v>
      </c>
      <c r="D68" s="12">
        <f>AVERAGE(Table4[Clarity of Report])</f>
        <v>3</v>
      </c>
      <c r="E68" s="12">
        <f>AVERAGE(Table4[Report Formatting])</f>
        <v>3</v>
      </c>
      <c r="F68" s="12">
        <f>AVERAGE(Table4[Project Charter/ Design Plan])</f>
        <v>3</v>
      </c>
      <c r="G68" s="12">
        <f>AVERAGE(Table4[Clarity/Relevance/Heading/Numbering of Figures/Tables])</f>
        <v>2.6557377049180326</v>
      </c>
      <c r="H68" s="12">
        <f>AVERAGE(Table4[Referencing])</f>
        <v>2.8032786885245899</v>
      </c>
      <c r="I68" s="12">
        <f>AVERAGE(Table4[Introduction])</f>
        <v>2.7540983606557377</v>
      </c>
      <c r="J68" s="12">
        <f>AVERAGE(Table4[Market Analysis])</f>
        <v>2.4754098360655736</v>
      </c>
      <c r="K68" s="12">
        <f>AVERAGE(Table4[Process Description])</f>
        <v>2.1311475409836067</v>
      </c>
      <c r="L68" s="12">
        <f>AVERAGE(Table4[Competing Processes])</f>
        <v>2.6065573770491803</v>
      </c>
      <c r="M68" s="12">
        <f>AVERAGE(Table4[BFD/Rough Mass Balance])</f>
        <v>2.9344262295081966</v>
      </c>
      <c r="N68" s="12">
        <f>AVERAGE(Table4[PFD])</f>
        <v>2.6721311475409837</v>
      </c>
    </row>
    <row r="69" spans="2:14" x14ac:dyDescent="0.2">
      <c r="B69" s="11" t="s">
        <v>64</v>
      </c>
      <c r="D69" s="14">
        <f>STDEV(Table4[Clarity of Report])</f>
        <v>0</v>
      </c>
      <c r="E69" s="14">
        <f>STDEV(Table4[Report Formatting])</f>
        <v>0</v>
      </c>
      <c r="F69" s="14">
        <f>STDEV(Table4[Project Charter/ Design Plan])</f>
        <v>0</v>
      </c>
      <c r="G69" s="14">
        <f>STDEV(Table4[Clarity/Relevance/Heading/Numbering of Figures/Tables])</f>
        <v>0.60236328743926992</v>
      </c>
      <c r="H69" s="14">
        <f>STDEV(Table4[Referencing])</f>
        <v>0.4008188340197078</v>
      </c>
      <c r="I69" s="14">
        <f>STDEV(Table4[Introduction])</f>
        <v>0.4341941848573454</v>
      </c>
      <c r="J69" s="14">
        <f>STDEV(Table4[Market Analysis])</f>
        <v>0.80842557639420687</v>
      </c>
      <c r="K69" s="14">
        <f>STDEV(Table4[Process Description])</f>
        <v>0.80571727539432381</v>
      </c>
      <c r="L69" s="14">
        <f>STDEV(Table4[Competing Processes])</f>
        <v>0.713645302294031</v>
      </c>
      <c r="M69" s="14">
        <f>STDEV(Table4[BFD/Rough Mass Balance])</f>
        <v>0.24958982745138714</v>
      </c>
      <c r="N69" s="14">
        <f>STDEV(Table4[PFD])</f>
        <v>0.59781021167284176</v>
      </c>
    </row>
    <row r="70" spans="2:14" x14ac:dyDescent="0.2">
      <c r="B70" s="1"/>
    </row>
    <row r="71" spans="2:14" x14ac:dyDescent="0.2">
      <c r="B71" s="11" t="s">
        <v>69</v>
      </c>
      <c r="D71" s="11">
        <f>AVERAGE(D68:N68)</f>
        <v>2.7302533532041733</v>
      </c>
    </row>
    <row r="72" spans="2:14" x14ac:dyDescent="0.2">
      <c r="B72" s="11" t="s">
        <v>66</v>
      </c>
      <c r="D72" s="11">
        <f>AVERAGE(I68:N68)</f>
        <v>2.5956284153005469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C1C9-4773-4F68-A21B-D9560FA47D70}">
  <dimension ref="B1:P67"/>
  <sheetViews>
    <sheetView topLeftCell="A47" workbookViewId="0">
      <selection activeCell="F76" sqref="F76"/>
    </sheetView>
  </sheetViews>
  <sheetFormatPr baseColWidth="10" defaultColWidth="8.83203125" defaultRowHeight="15" x14ac:dyDescent="0.2"/>
  <cols>
    <col min="2" max="7" width="9" customWidth="1"/>
    <col min="8" max="8" width="9" style="1" customWidth="1"/>
    <col min="9" max="16" width="9" customWidth="1"/>
  </cols>
  <sheetData>
    <row r="1" spans="2:16" x14ac:dyDescent="0.2">
      <c r="B1" t="s">
        <v>0</v>
      </c>
      <c r="C1" t="s">
        <v>1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12</v>
      </c>
    </row>
    <row r="2" spans="2:16" x14ac:dyDescent="0.2">
      <c r="B2">
        <v>1</v>
      </c>
      <c r="C2">
        <v>1</v>
      </c>
      <c r="D2">
        <v>2</v>
      </c>
      <c r="E2">
        <v>3</v>
      </c>
      <c r="F2">
        <v>3</v>
      </c>
      <c r="G2">
        <v>3</v>
      </c>
      <c r="H2" s="1">
        <v>3</v>
      </c>
      <c r="I2">
        <v>2</v>
      </c>
      <c r="J2">
        <v>3</v>
      </c>
      <c r="K2">
        <v>3</v>
      </c>
      <c r="L2">
        <v>3</v>
      </c>
      <c r="M2">
        <v>2</v>
      </c>
      <c r="N2">
        <v>1</v>
      </c>
      <c r="O2">
        <v>2</v>
      </c>
      <c r="P2">
        <v>76</v>
      </c>
    </row>
    <row r="3" spans="2:16" x14ac:dyDescent="0.2">
      <c r="B3">
        <v>1</v>
      </c>
      <c r="C3">
        <v>2</v>
      </c>
      <c r="D3" s="1">
        <v>2</v>
      </c>
      <c r="E3" s="1">
        <v>3</v>
      </c>
      <c r="F3" s="1">
        <v>3</v>
      </c>
      <c r="G3" s="1">
        <v>3</v>
      </c>
      <c r="H3" s="1">
        <v>3</v>
      </c>
      <c r="I3" s="1">
        <v>2</v>
      </c>
      <c r="J3" s="1">
        <v>3</v>
      </c>
      <c r="K3" s="1">
        <v>3</v>
      </c>
      <c r="L3" s="1">
        <v>3</v>
      </c>
      <c r="M3" s="1">
        <v>2</v>
      </c>
      <c r="N3" s="1">
        <v>1</v>
      </c>
      <c r="O3" s="1">
        <v>2</v>
      </c>
      <c r="P3" s="1">
        <v>76</v>
      </c>
    </row>
    <row r="4" spans="2:16" x14ac:dyDescent="0.2">
      <c r="B4">
        <v>1</v>
      </c>
      <c r="C4">
        <v>3</v>
      </c>
      <c r="D4" s="1">
        <v>2</v>
      </c>
      <c r="E4" s="1">
        <v>3</v>
      </c>
      <c r="F4" s="1">
        <v>3</v>
      </c>
      <c r="G4" s="1">
        <v>3</v>
      </c>
      <c r="H4" s="1">
        <v>3</v>
      </c>
      <c r="I4" s="1">
        <v>2</v>
      </c>
      <c r="J4" s="1">
        <v>3</v>
      </c>
      <c r="K4" s="1">
        <v>3</v>
      </c>
      <c r="L4" s="1">
        <v>3</v>
      </c>
      <c r="M4" s="1">
        <v>2</v>
      </c>
      <c r="N4" s="1">
        <v>1</v>
      </c>
      <c r="O4" s="1">
        <v>2</v>
      </c>
      <c r="P4" s="1">
        <v>76</v>
      </c>
    </row>
    <row r="5" spans="2:16" x14ac:dyDescent="0.2">
      <c r="B5">
        <v>1</v>
      </c>
      <c r="C5">
        <v>4</v>
      </c>
      <c r="D5" s="1">
        <v>2</v>
      </c>
      <c r="E5" s="1">
        <v>3</v>
      </c>
      <c r="F5" s="1">
        <v>3</v>
      </c>
      <c r="G5" s="1">
        <v>3</v>
      </c>
      <c r="H5" s="1">
        <v>3</v>
      </c>
      <c r="I5" s="1">
        <v>2</v>
      </c>
      <c r="J5" s="1">
        <v>3</v>
      </c>
      <c r="K5" s="1">
        <v>3</v>
      </c>
      <c r="L5" s="1">
        <v>3</v>
      </c>
      <c r="M5" s="1">
        <v>2</v>
      </c>
      <c r="N5" s="1">
        <v>1</v>
      </c>
      <c r="O5" s="1">
        <v>2</v>
      </c>
      <c r="P5" s="1">
        <v>76</v>
      </c>
    </row>
    <row r="6" spans="2:16" x14ac:dyDescent="0.2">
      <c r="B6">
        <v>15</v>
      </c>
      <c r="C6">
        <v>1</v>
      </c>
      <c r="D6" s="1">
        <v>2</v>
      </c>
      <c r="E6" s="1">
        <v>3</v>
      </c>
      <c r="F6" s="1">
        <v>3</v>
      </c>
      <c r="G6" s="1">
        <v>3</v>
      </c>
      <c r="H6" s="1">
        <v>3</v>
      </c>
      <c r="I6" s="1">
        <v>2</v>
      </c>
      <c r="J6" s="1">
        <v>3</v>
      </c>
      <c r="K6" s="1">
        <v>3</v>
      </c>
      <c r="L6" s="1">
        <v>3</v>
      </c>
      <c r="M6">
        <v>3</v>
      </c>
      <c r="N6" s="1">
        <v>1</v>
      </c>
      <c r="O6" s="1">
        <v>2</v>
      </c>
      <c r="P6">
        <v>84</v>
      </c>
    </row>
    <row r="7" spans="2:16" x14ac:dyDescent="0.2">
      <c r="B7">
        <v>15</v>
      </c>
      <c r="C7">
        <v>2</v>
      </c>
      <c r="D7" s="1">
        <v>2</v>
      </c>
      <c r="E7" s="1">
        <v>3</v>
      </c>
      <c r="F7" s="1">
        <v>3</v>
      </c>
      <c r="G7" s="1">
        <v>3</v>
      </c>
      <c r="H7" s="1">
        <v>3</v>
      </c>
      <c r="I7" s="1">
        <v>2</v>
      </c>
      <c r="J7" s="1">
        <v>3</v>
      </c>
      <c r="K7" s="1">
        <v>3</v>
      </c>
      <c r="L7" s="1">
        <v>3</v>
      </c>
      <c r="M7" s="1">
        <v>3</v>
      </c>
      <c r="N7" s="1">
        <v>1</v>
      </c>
      <c r="O7" s="1">
        <v>2</v>
      </c>
      <c r="P7" s="1">
        <v>84</v>
      </c>
    </row>
    <row r="8" spans="2:16" x14ac:dyDescent="0.2">
      <c r="B8">
        <v>15</v>
      </c>
      <c r="C8">
        <v>3</v>
      </c>
      <c r="D8" s="1">
        <v>2</v>
      </c>
      <c r="E8" s="1">
        <v>3</v>
      </c>
      <c r="F8" s="1">
        <v>3</v>
      </c>
      <c r="G8" s="1">
        <v>3</v>
      </c>
      <c r="H8" s="1">
        <v>3</v>
      </c>
      <c r="I8" s="1">
        <v>2</v>
      </c>
      <c r="J8" s="1">
        <v>3</v>
      </c>
      <c r="K8" s="1">
        <v>3</v>
      </c>
      <c r="L8" s="1">
        <v>3</v>
      </c>
      <c r="M8" s="1">
        <v>3</v>
      </c>
      <c r="N8" s="1">
        <v>1</v>
      </c>
      <c r="O8" s="1">
        <v>2</v>
      </c>
      <c r="P8" s="1">
        <v>84</v>
      </c>
    </row>
    <row r="9" spans="2:16" x14ac:dyDescent="0.2">
      <c r="B9">
        <v>8</v>
      </c>
      <c r="C9">
        <v>1</v>
      </c>
      <c r="D9">
        <v>3</v>
      </c>
      <c r="E9" s="1">
        <v>3</v>
      </c>
      <c r="F9" s="1">
        <v>3</v>
      </c>
      <c r="G9">
        <v>1</v>
      </c>
      <c r="H9" s="1">
        <v>3</v>
      </c>
      <c r="I9" s="1">
        <v>2</v>
      </c>
      <c r="J9" s="1">
        <v>3</v>
      </c>
      <c r="K9" s="1">
        <v>3</v>
      </c>
      <c r="L9" s="1">
        <v>3</v>
      </c>
      <c r="M9" s="1">
        <v>3</v>
      </c>
      <c r="N9">
        <v>2</v>
      </c>
      <c r="O9" s="1">
        <v>2</v>
      </c>
      <c r="P9">
        <v>83</v>
      </c>
    </row>
    <row r="10" spans="2:16" x14ac:dyDescent="0.2">
      <c r="B10">
        <v>8</v>
      </c>
      <c r="C10">
        <v>2</v>
      </c>
      <c r="D10" s="1">
        <v>3</v>
      </c>
      <c r="E10" s="1">
        <v>3</v>
      </c>
      <c r="F10" s="1">
        <v>3</v>
      </c>
      <c r="G10" s="1">
        <v>1</v>
      </c>
      <c r="H10" s="1">
        <v>3</v>
      </c>
      <c r="I10" s="1">
        <v>2</v>
      </c>
      <c r="J10" s="1">
        <v>3</v>
      </c>
      <c r="K10" s="1">
        <v>3</v>
      </c>
      <c r="L10" s="1">
        <v>3</v>
      </c>
      <c r="M10" s="1">
        <v>3</v>
      </c>
      <c r="N10" s="1">
        <v>2</v>
      </c>
      <c r="O10" s="1">
        <v>2</v>
      </c>
      <c r="P10" s="1">
        <v>83</v>
      </c>
    </row>
    <row r="11" spans="2:16" x14ac:dyDescent="0.2">
      <c r="B11">
        <v>8</v>
      </c>
      <c r="C11">
        <v>3</v>
      </c>
      <c r="D11" s="1">
        <v>3</v>
      </c>
      <c r="E11" s="1">
        <v>3</v>
      </c>
      <c r="F11" s="1">
        <v>3</v>
      </c>
      <c r="G11" s="1">
        <v>1</v>
      </c>
      <c r="H11" s="1">
        <v>3</v>
      </c>
      <c r="I11" s="1">
        <v>2</v>
      </c>
      <c r="J11" s="1">
        <v>3</v>
      </c>
      <c r="K11" s="1">
        <v>3</v>
      </c>
      <c r="L11" s="1">
        <v>3</v>
      </c>
      <c r="M11" s="1">
        <v>3</v>
      </c>
      <c r="N11" s="1">
        <v>2</v>
      </c>
      <c r="O11" s="1">
        <v>2</v>
      </c>
      <c r="P11" s="1">
        <v>83</v>
      </c>
    </row>
    <row r="12" spans="2:16" x14ac:dyDescent="0.2">
      <c r="B12">
        <v>8</v>
      </c>
      <c r="C12">
        <v>4</v>
      </c>
      <c r="D12" s="1">
        <v>3</v>
      </c>
      <c r="E12" s="1">
        <v>3</v>
      </c>
      <c r="F12" s="1">
        <v>3</v>
      </c>
      <c r="G12" s="1">
        <v>1</v>
      </c>
      <c r="H12" s="1">
        <v>3</v>
      </c>
      <c r="I12" s="1">
        <v>2</v>
      </c>
      <c r="J12" s="1">
        <v>3</v>
      </c>
      <c r="K12" s="1">
        <v>3</v>
      </c>
      <c r="L12" s="1">
        <v>3</v>
      </c>
      <c r="M12" s="1">
        <v>3</v>
      </c>
      <c r="N12" s="1">
        <v>2</v>
      </c>
      <c r="O12" s="1">
        <v>2</v>
      </c>
      <c r="P12" s="1">
        <v>83</v>
      </c>
    </row>
    <row r="13" spans="2:16" x14ac:dyDescent="0.2">
      <c r="B13">
        <v>11</v>
      </c>
      <c r="C13">
        <v>1</v>
      </c>
      <c r="D13" s="1">
        <v>3</v>
      </c>
      <c r="E13" s="1">
        <v>3</v>
      </c>
      <c r="F13" s="1">
        <v>3</v>
      </c>
      <c r="G13">
        <v>3</v>
      </c>
      <c r="H13" s="1">
        <v>3</v>
      </c>
      <c r="I13" s="1">
        <v>2</v>
      </c>
      <c r="J13" s="1">
        <v>3</v>
      </c>
      <c r="K13" s="1">
        <v>3</v>
      </c>
      <c r="L13" s="1">
        <v>3</v>
      </c>
      <c r="M13" s="1">
        <v>3</v>
      </c>
      <c r="N13">
        <v>3</v>
      </c>
      <c r="O13" s="1">
        <v>2</v>
      </c>
      <c r="P13">
        <v>94</v>
      </c>
    </row>
    <row r="14" spans="2:16" x14ac:dyDescent="0.2">
      <c r="B14">
        <v>11</v>
      </c>
      <c r="C14">
        <v>2</v>
      </c>
      <c r="D14" s="1">
        <v>3</v>
      </c>
      <c r="E14" s="1">
        <v>3</v>
      </c>
      <c r="F14" s="1">
        <v>3</v>
      </c>
      <c r="G14" s="1">
        <v>3</v>
      </c>
      <c r="H14" s="1">
        <v>3</v>
      </c>
      <c r="I14" s="1">
        <v>2</v>
      </c>
      <c r="J14" s="1">
        <v>3</v>
      </c>
      <c r="K14" s="1">
        <v>3</v>
      </c>
      <c r="L14" s="1">
        <v>3</v>
      </c>
      <c r="M14" s="1">
        <v>3</v>
      </c>
      <c r="N14" s="1">
        <v>3</v>
      </c>
      <c r="O14" s="1">
        <v>2</v>
      </c>
      <c r="P14" s="1">
        <v>94</v>
      </c>
    </row>
    <row r="15" spans="2:16" x14ac:dyDescent="0.2">
      <c r="B15">
        <v>11</v>
      </c>
      <c r="C15">
        <v>3</v>
      </c>
      <c r="D15" s="1">
        <v>3</v>
      </c>
      <c r="E15" s="1">
        <v>3</v>
      </c>
      <c r="F15" s="1">
        <v>3</v>
      </c>
      <c r="G15" s="1">
        <v>3</v>
      </c>
      <c r="H15" s="1">
        <v>3</v>
      </c>
      <c r="I15" s="1">
        <v>2</v>
      </c>
      <c r="J15" s="1">
        <v>3</v>
      </c>
      <c r="K15" s="1">
        <v>3</v>
      </c>
      <c r="L15" s="1">
        <v>3</v>
      </c>
      <c r="M15" s="1">
        <v>3</v>
      </c>
      <c r="N15" s="1">
        <v>3</v>
      </c>
      <c r="O15" s="1">
        <v>2</v>
      </c>
      <c r="P15" s="1">
        <v>94</v>
      </c>
    </row>
    <row r="16" spans="2:16" x14ac:dyDescent="0.2">
      <c r="B16">
        <v>11</v>
      </c>
      <c r="C16">
        <v>4</v>
      </c>
      <c r="D16" s="1">
        <v>3</v>
      </c>
      <c r="E16" s="1">
        <v>3</v>
      </c>
      <c r="F16" s="1">
        <v>3</v>
      </c>
      <c r="G16" s="1">
        <v>3</v>
      </c>
      <c r="H16" s="1">
        <v>3</v>
      </c>
      <c r="I16" s="1">
        <v>2</v>
      </c>
      <c r="J16" s="1">
        <v>3</v>
      </c>
      <c r="K16" s="1">
        <v>3</v>
      </c>
      <c r="L16" s="1">
        <v>3</v>
      </c>
      <c r="M16" s="1">
        <v>3</v>
      </c>
      <c r="N16" s="1">
        <v>3</v>
      </c>
      <c r="O16" s="1">
        <v>2</v>
      </c>
      <c r="P16" s="1">
        <v>94</v>
      </c>
    </row>
    <row r="17" spans="2:16" x14ac:dyDescent="0.2">
      <c r="B17">
        <v>5</v>
      </c>
      <c r="C17">
        <v>1</v>
      </c>
      <c r="D17" s="1">
        <v>3</v>
      </c>
      <c r="E17" s="1">
        <v>3</v>
      </c>
      <c r="F17" s="1">
        <v>3</v>
      </c>
      <c r="G17" s="1">
        <v>3</v>
      </c>
      <c r="H17" s="1">
        <v>3</v>
      </c>
      <c r="I17" s="1">
        <v>2</v>
      </c>
      <c r="J17" s="1">
        <v>3</v>
      </c>
      <c r="K17" s="1">
        <v>3</v>
      </c>
      <c r="L17" s="1">
        <v>3</v>
      </c>
      <c r="M17" s="1">
        <v>3</v>
      </c>
      <c r="N17" s="1">
        <v>3</v>
      </c>
      <c r="O17">
        <v>3</v>
      </c>
      <c r="P17">
        <v>96</v>
      </c>
    </row>
    <row r="18" spans="2:16" x14ac:dyDescent="0.2">
      <c r="B18">
        <v>5</v>
      </c>
      <c r="C18">
        <v>2</v>
      </c>
      <c r="D18" s="1">
        <v>3</v>
      </c>
      <c r="E18" s="1">
        <v>3</v>
      </c>
      <c r="F18" s="1">
        <v>3</v>
      </c>
      <c r="G18" s="1">
        <v>3</v>
      </c>
      <c r="H18" s="1">
        <v>3</v>
      </c>
      <c r="I18" s="1">
        <v>2</v>
      </c>
      <c r="J18" s="1">
        <v>3</v>
      </c>
      <c r="K18" s="1">
        <v>3</v>
      </c>
      <c r="L18" s="1">
        <v>3</v>
      </c>
      <c r="M18" s="1">
        <v>3</v>
      </c>
      <c r="N18" s="1">
        <v>3</v>
      </c>
      <c r="O18" s="1">
        <v>3</v>
      </c>
      <c r="P18" s="1">
        <v>96</v>
      </c>
    </row>
    <row r="19" spans="2:16" x14ac:dyDescent="0.2">
      <c r="B19">
        <v>5</v>
      </c>
      <c r="C19">
        <v>3</v>
      </c>
      <c r="D19" s="1">
        <v>3</v>
      </c>
      <c r="E19" s="1">
        <v>3</v>
      </c>
      <c r="F19" s="1">
        <v>3</v>
      </c>
      <c r="G19" s="1">
        <v>3</v>
      </c>
      <c r="H19" s="1">
        <v>3</v>
      </c>
      <c r="I19" s="1">
        <v>2</v>
      </c>
      <c r="J19" s="1">
        <v>3</v>
      </c>
      <c r="K19" s="1">
        <v>3</v>
      </c>
      <c r="L19" s="1">
        <v>3</v>
      </c>
      <c r="M19" s="1">
        <v>3</v>
      </c>
      <c r="N19" s="1">
        <v>3</v>
      </c>
      <c r="O19" s="1">
        <v>3</v>
      </c>
      <c r="P19" s="1">
        <v>96</v>
      </c>
    </row>
    <row r="20" spans="2:16" x14ac:dyDescent="0.2">
      <c r="B20">
        <v>5</v>
      </c>
      <c r="C20">
        <v>4</v>
      </c>
      <c r="D20" s="1">
        <v>3</v>
      </c>
      <c r="E20" s="1">
        <v>3</v>
      </c>
      <c r="F20" s="1">
        <v>3</v>
      </c>
      <c r="G20" s="1">
        <v>3</v>
      </c>
      <c r="H20" s="1">
        <v>3</v>
      </c>
      <c r="I20" s="1">
        <v>2</v>
      </c>
      <c r="J20" s="1">
        <v>3</v>
      </c>
      <c r="K20" s="1">
        <v>3</v>
      </c>
      <c r="L20" s="1">
        <v>3</v>
      </c>
      <c r="M20" s="1">
        <v>3</v>
      </c>
      <c r="N20" s="1">
        <v>3</v>
      </c>
      <c r="O20" s="1">
        <v>3</v>
      </c>
      <c r="P20" s="1">
        <v>96</v>
      </c>
    </row>
    <row r="21" spans="2:16" x14ac:dyDescent="0.2">
      <c r="B21">
        <v>7</v>
      </c>
      <c r="C21">
        <v>1</v>
      </c>
      <c r="D21" s="1">
        <v>3</v>
      </c>
      <c r="E21" s="1">
        <v>3</v>
      </c>
      <c r="F21" s="1">
        <v>3</v>
      </c>
      <c r="G21" s="1">
        <v>3</v>
      </c>
      <c r="H21" s="1">
        <v>3</v>
      </c>
      <c r="I21" s="1">
        <v>2</v>
      </c>
      <c r="J21" s="1">
        <v>3</v>
      </c>
      <c r="K21" s="1">
        <v>3</v>
      </c>
      <c r="L21" s="1">
        <v>3</v>
      </c>
      <c r="M21" s="1">
        <v>3</v>
      </c>
      <c r="N21" s="1">
        <v>3</v>
      </c>
      <c r="O21">
        <v>2</v>
      </c>
      <c r="P21">
        <v>90</v>
      </c>
    </row>
    <row r="22" spans="2:16" x14ac:dyDescent="0.2">
      <c r="B22">
        <v>7</v>
      </c>
      <c r="C22">
        <v>2</v>
      </c>
      <c r="D22" s="1">
        <v>3</v>
      </c>
      <c r="E22" s="1">
        <v>3</v>
      </c>
      <c r="F22" s="1">
        <v>3</v>
      </c>
      <c r="G22" s="1">
        <v>3</v>
      </c>
      <c r="H22" s="1">
        <v>3</v>
      </c>
      <c r="I22" s="1">
        <v>2</v>
      </c>
      <c r="J22" s="1">
        <v>3</v>
      </c>
      <c r="K22" s="1">
        <v>3</v>
      </c>
      <c r="L22" s="1">
        <v>3</v>
      </c>
      <c r="M22" s="1">
        <v>3</v>
      </c>
      <c r="N22" s="1">
        <v>3</v>
      </c>
      <c r="O22" s="1">
        <v>2</v>
      </c>
      <c r="P22" s="1">
        <v>90</v>
      </c>
    </row>
    <row r="23" spans="2:16" x14ac:dyDescent="0.2">
      <c r="B23">
        <v>7</v>
      </c>
      <c r="C23">
        <v>3</v>
      </c>
      <c r="D23" s="1">
        <v>3</v>
      </c>
      <c r="E23" s="1">
        <v>3</v>
      </c>
      <c r="F23" s="1">
        <v>3</v>
      </c>
      <c r="G23" s="1">
        <v>3</v>
      </c>
      <c r="H23" s="1">
        <v>3</v>
      </c>
      <c r="I23" s="1">
        <v>2</v>
      </c>
      <c r="J23" s="1">
        <v>3</v>
      </c>
      <c r="K23" s="1">
        <v>3</v>
      </c>
      <c r="L23" s="1">
        <v>3</v>
      </c>
      <c r="M23" s="1">
        <v>3</v>
      </c>
      <c r="N23" s="1">
        <v>3</v>
      </c>
      <c r="O23" s="1">
        <v>2</v>
      </c>
      <c r="P23" s="1">
        <v>90</v>
      </c>
    </row>
    <row r="24" spans="2:16" x14ac:dyDescent="0.2">
      <c r="B24">
        <v>7</v>
      </c>
      <c r="C24">
        <v>4</v>
      </c>
      <c r="D24" s="1">
        <v>3</v>
      </c>
      <c r="E24" s="1">
        <v>3</v>
      </c>
      <c r="F24" s="1">
        <v>3</v>
      </c>
      <c r="G24" s="1">
        <v>3</v>
      </c>
      <c r="H24" s="1">
        <v>3</v>
      </c>
      <c r="I24" s="1">
        <v>2</v>
      </c>
      <c r="J24" s="1">
        <v>3</v>
      </c>
      <c r="K24" s="1">
        <v>3</v>
      </c>
      <c r="L24" s="1">
        <v>3</v>
      </c>
      <c r="M24" s="1">
        <v>3</v>
      </c>
      <c r="N24" s="1">
        <v>3</v>
      </c>
      <c r="O24" s="1">
        <v>2</v>
      </c>
      <c r="P24" s="1">
        <v>90</v>
      </c>
    </row>
    <row r="25" spans="2:16" x14ac:dyDescent="0.2">
      <c r="B25">
        <v>7</v>
      </c>
      <c r="C25">
        <v>5</v>
      </c>
      <c r="D25" s="1">
        <v>3</v>
      </c>
      <c r="E25" s="1">
        <v>3</v>
      </c>
      <c r="F25" s="1">
        <v>3</v>
      </c>
      <c r="G25" s="1">
        <v>3</v>
      </c>
      <c r="H25" s="1">
        <v>3</v>
      </c>
      <c r="I25" s="1">
        <v>2</v>
      </c>
      <c r="J25" s="1">
        <v>3</v>
      </c>
      <c r="K25" s="1">
        <v>3</v>
      </c>
      <c r="L25" s="1">
        <v>3</v>
      </c>
      <c r="M25" s="1">
        <v>3</v>
      </c>
      <c r="N25" s="1">
        <v>3</v>
      </c>
      <c r="O25" s="1">
        <v>2</v>
      </c>
      <c r="P25" s="1">
        <v>90</v>
      </c>
    </row>
    <row r="26" spans="2:16" x14ac:dyDescent="0.2">
      <c r="B26">
        <v>12</v>
      </c>
      <c r="C26">
        <v>1</v>
      </c>
      <c r="D26" s="1">
        <v>3</v>
      </c>
      <c r="E26" s="1">
        <v>3</v>
      </c>
      <c r="F26" s="1">
        <v>3</v>
      </c>
      <c r="G26" s="1">
        <v>3</v>
      </c>
      <c r="H26" s="1">
        <v>3</v>
      </c>
      <c r="I26" s="1">
        <v>2</v>
      </c>
      <c r="J26" s="1">
        <v>3</v>
      </c>
      <c r="K26" s="1">
        <v>3</v>
      </c>
      <c r="L26" s="1">
        <v>3</v>
      </c>
      <c r="M26" s="1">
        <v>3</v>
      </c>
      <c r="N26" s="1">
        <v>3</v>
      </c>
      <c r="O26" s="1">
        <v>2</v>
      </c>
      <c r="P26">
        <v>94</v>
      </c>
    </row>
    <row r="27" spans="2:16" x14ac:dyDescent="0.2">
      <c r="B27">
        <v>12</v>
      </c>
      <c r="C27">
        <v>2</v>
      </c>
      <c r="D27" s="1">
        <v>3</v>
      </c>
      <c r="E27" s="1">
        <v>3</v>
      </c>
      <c r="F27" s="1">
        <v>3</v>
      </c>
      <c r="G27" s="1">
        <v>3</v>
      </c>
      <c r="H27" s="1">
        <v>3</v>
      </c>
      <c r="I27" s="1">
        <v>2</v>
      </c>
      <c r="J27" s="1">
        <v>3</v>
      </c>
      <c r="K27" s="1">
        <v>3</v>
      </c>
      <c r="L27" s="1">
        <v>3</v>
      </c>
      <c r="M27" s="1">
        <v>3</v>
      </c>
      <c r="N27" s="1">
        <v>3</v>
      </c>
      <c r="O27" s="1">
        <v>2</v>
      </c>
      <c r="P27" s="1">
        <v>94</v>
      </c>
    </row>
    <row r="28" spans="2:16" x14ac:dyDescent="0.2">
      <c r="B28">
        <v>12</v>
      </c>
      <c r="C28">
        <v>3</v>
      </c>
      <c r="D28" s="1">
        <v>3</v>
      </c>
      <c r="E28" s="1">
        <v>3</v>
      </c>
      <c r="F28" s="1">
        <v>3</v>
      </c>
      <c r="G28" s="1">
        <v>3</v>
      </c>
      <c r="H28" s="1">
        <v>3</v>
      </c>
      <c r="I28" s="1">
        <v>2</v>
      </c>
      <c r="J28" s="1">
        <v>3</v>
      </c>
      <c r="K28" s="1">
        <v>3</v>
      </c>
      <c r="L28" s="1">
        <v>3</v>
      </c>
      <c r="M28" s="1">
        <v>3</v>
      </c>
      <c r="N28" s="1">
        <v>3</v>
      </c>
      <c r="O28" s="1">
        <v>2</v>
      </c>
      <c r="P28" s="1">
        <v>94</v>
      </c>
    </row>
    <row r="29" spans="2:16" x14ac:dyDescent="0.2">
      <c r="B29">
        <v>12</v>
      </c>
      <c r="C29">
        <v>4</v>
      </c>
      <c r="D29" s="1">
        <v>3</v>
      </c>
      <c r="E29" s="1">
        <v>3</v>
      </c>
      <c r="F29" s="1">
        <v>3</v>
      </c>
      <c r="G29" s="1">
        <v>3</v>
      </c>
      <c r="H29" s="1">
        <v>3</v>
      </c>
      <c r="I29" s="1">
        <v>2</v>
      </c>
      <c r="J29" s="1">
        <v>3</v>
      </c>
      <c r="K29" s="1">
        <v>3</v>
      </c>
      <c r="L29" s="1">
        <v>3</v>
      </c>
      <c r="M29" s="1">
        <v>3</v>
      </c>
      <c r="N29" s="1">
        <v>3</v>
      </c>
      <c r="O29" s="1">
        <v>2</v>
      </c>
      <c r="P29" s="1">
        <v>94</v>
      </c>
    </row>
    <row r="30" spans="2:16" x14ac:dyDescent="0.2">
      <c r="B30">
        <v>13</v>
      </c>
      <c r="C30">
        <v>1</v>
      </c>
      <c r="D30" s="1">
        <v>3</v>
      </c>
      <c r="E30" s="1">
        <v>3</v>
      </c>
      <c r="F30" s="1">
        <v>3</v>
      </c>
      <c r="G30" s="1">
        <v>3</v>
      </c>
      <c r="H30" s="1">
        <v>3</v>
      </c>
      <c r="I30">
        <v>3</v>
      </c>
      <c r="J30" s="1">
        <v>3</v>
      </c>
      <c r="K30" s="1">
        <v>3</v>
      </c>
      <c r="L30" s="1">
        <v>3</v>
      </c>
      <c r="M30" s="1">
        <v>3</v>
      </c>
      <c r="N30" s="1">
        <v>3</v>
      </c>
      <c r="O30" s="1">
        <v>2</v>
      </c>
      <c r="P30">
        <v>88</v>
      </c>
    </row>
    <row r="31" spans="2:16" x14ac:dyDescent="0.2">
      <c r="B31">
        <v>13</v>
      </c>
      <c r="C31">
        <v>2</v>
      </c>
      <c r="D31" s="1">
        <v>3</v>
      </c>
      <c r="E31" s="1">
        <v>3</v>
      </c>
      <c r="F31" s="1">
        <v>3</v>
      </c>
      <c r="G31" s="1">
        <v>3</v>
      </c>
      <c r="H31" s="1">
        <v>3</v>
      </c>
      <c r="I31" s="1">
        <v>3</v>
      </c>
      <c r="J31" s="1">
        <v>3</v>
      </c>
      <c r="K31" s="1">
        <v>3</v>
      </c>
      <c r="L31" s="1">
        <v>3</v>
      </c>
      <c r="M31" s="1">
        <v>3</v>
      </c>
      <c r="N31" s="1">
        <v>3</v>
      </c>
      <c r="O31" s="1">
        <v>2</v>
      </c>
      <c r="P31" s="1">
        <v>88</v>
      </c>
    </row>
    <row r="32" spans="2:16" x14ac:dyDescent="0.2">
      <c r="B32">
        <v>13</v>
      </c>
      <c r="C32">
        <v>3</v>
      </c>
      <c r="D32" s="1">
        <v>3</v>
      </c>
      <c r="E32" s="1">
        <v>3</v>
      </c>
      <c r="F32" s="1">
        <v>3</v>
      </c>
      <c r="G32" s="1">
        <v>3</v>
      </c>
      <c r="H32" s="1">
        <v>3</v>
      </c>
      <c r="I32" s="1">
        <v>3</v>
      </c>
      <c r="J32" s="1">
        <v>3</v>
      </c>
      <c r="K32" s="1">
        <v>3</v>
      </c>
      <c r="L32" s="1">
        <v>3</v>
      </c>
      <c r="M32" s="1">
        <v>3</v>
      </c>
      <c r="N32" s="1">
        <v>3</v>
      </c>
      <c r="O32" s="1">
        <v>2</v>
      </c>
      <c r="P32" s="1">
        <v>88</v>
      </c>
    </row>
    <row r="33" spans="2:16" x14ac:dyDescent="0.2">
      <c r="B33">
        <v>13</v>
      </c>
      <c r="C33">
        <v>4</v>
      </c>
      <c r="D33" s="1">
        <v>3</v>
      </c>
      <c r="E33" s="1">
        <v>3</v>
      </c>
      <c r="F33" s="1">
        <v>3</v>
      </c>
      <c r="G33" s="1">
        <v>3</v>
      </c>
      <c r="H33" s="1">
        <v>3</v>
      </c>
      <c r="I33" s="1">
        <v>3</v>
      </c>
      <c r="J33" s="1">
        <v>3</v>
      </c>
      <c r="K33" s="1">
        <v>3</v>
      </c>
      <c r="L33" s="1">
        <v>3</v>
      </c>
      <c r="M33" s="1">
        <v>3</v>
      </c>
      <c r="N33" s="1">
        <v>3</v>
      </c>
      <c r="O33" s="1">
        <v>2</v>
      </c>
      <c r="P33" s="1">
        <v>88</v>
      </c>
    </row>
    <row r="34" spans="2:16" x14ac:dyDescent="0.2">
      <c r="B34">
        <v>14</v>
      </c>
      <c r="C34">
        <v>1</v>
      </c>
      <c r="D34">
        <v>2</v>
      </c>
      <c r="E34">
        <v>2</v>
      </c>
      <c r="F34" s="1">
        <v>3</v>
      </c>
      <c r="G34" s="1">
        <v>3</v>
      </c>
      <c r="H34" s="1">
        <v>3</v>
      </c>
      <c r="I34">
        <v>2</v>
      </c>
      <c r="J34" s="1">
        <v>3</v>
      </c>
      <c r="K34" s="1">
        <v>3</v>
      </c>
      <c r="L34" s="1">
        <v>3</v>
      </c>
      <c r="M34" s="1">
        <v>3</v>
      </c>
      <c r="N34" s="1">
        <v>3</v>
      </c>
      <c r="O34" s="1">
        <v>2</v>
      </c>
      <c r="P34">
        <v>82</v>
      </c>
    </row>
    <row r="35" spans="2:16" x14ac:dyDescent="0.2">
      <c r="B35">
        <v>14</v>
      </c>
      <c r="C35">
        <v>2</v>
      </c>
      <c r="D35" s="1">
        <v>2</v>
      </c>
      <c r="E35" s="1">
        <v>2</v>
      </c>
      <c r="F35" s="1">
        <v>3</v>
      </c>
      <c r="G35" s="1">
        <v>3</v>
      </c>
      <c r="H35" s="1">
        <v>3</v>
      </c>
      <c r="I35" s="1">
        <v>2</v>
      </c>
      <c r="J35" s="1">
        <v>3</v>
      </c>
      <c r="K35" s="1">
        <v>3</v>
      </c>
      <c r="L35" s="1">
        <v>3</v>
      </c>
      <c r="M35" s="1">
        <v>3</v>
      </c>
      <c r="N35" s="1">
        <v>3</v>
      </c>
      <c r="O35" s="1">
        <v>2</v>
      </c>
      <c r="P35" s="1">
        <v>82</v>
      </c>
    </row>
    <row r="36" spans="2:16" x14ac:dyDescent="0.2">
      <c r="B36">
        <v>14</v>
      </c>
      <c r="C36">
        <v>3</v>
      </c>
      <c r="D36" s="1">
        <v>2</v>
      </c>
      <c r="E36" s="1">
        <v>2</v>
      </c>
      <c r="F36" s="1">
        <v>3</v>
      </c>
      <c r="G36" s="1">
        <v>3</v>
      </c>
      <c r="H36" s="1">
        <v>3</v>
      </c>
      <c r="I36" s="1">
        <v>2</v>
      </c>
      <c r="J36" s="1">
        <v>3</v>
      </c>
      <c r="K36" s="1">
        <v>3</v>
      </c>
      <c r="L36" s="1">
        <v>3</v>
      </c>
      <c r="M36" s="1">
        <v>3</v>
      </c>
      <c r="N36" s="1">
        <v>3</v>
      </c>
      <c r="O36" s="1">
        <v>2</v>
      </c>
      <c r="P36" s="1">
        <v>82</v>
      </c>
    </row>
    <row r="37" spans="2:16" x14ac:dyDescent="0.2">
      <c r="B37">
        <v>14</v>
      </c>
      <c r="C37">
        <v>4</v>
      </c>
      <c r="D37" s="1">
        <v>2</v>
      </c>
      <c r="E37" s="1">
        <v>2</v>
      </c>
      <c r="F37" s="1">
        <v>3</v>
      </c>
      <c r="G37" s="1">
        <v>3</v>
      </c>
      <c r="H37" s="1">
        <v>3</v>
      </c>
      <c r="I37" s="1">
        <v>2</v>
      </c>
      <c r="J37" s="1">
        <v>3</v>
      </c>
      <c r="K37" s="1">
        <v>3</v>
      </c>
      <c r="L37" s="1">
        <v>3</v>
      </c>
      <c r="M37" s="1">
        <v>3</v>
      </c>
      <c r="N37" s="1">
        <v>3</v>
      </c>
      <c r="O37" s="1">
        <v>2</v>
      </c>
      <c r="P37" s="1">
        <v>82</v>
      </c>
    </row>
    <row r="38" spans="2:16" x14ac:dyDescent="0.2">
      <c r="B38">
        <v>6</v>
      </c>
      <c r="C38">
        <v>1</v>
      </c>
      <c r="D38" s="1">
        <v>2</v>
      </c>
      <c r="E38">
        <v>3</v>
      </c>
      <c r="F38" s="1">
        <v>3</v>
      </c>
      <c r="G38" s="1">
        <v>3</v>
      </c>
      <c r="H38" s="1">
        <v>3</v>
      </c>
      <c r="I38" s="1">
        <v>2</v>
      </c>
      <c r="J38" s="1">
        <v>3</v>
      </c>
      <c r="K38" s="1">
        <v>3</v>
      </c>
      <c r="L38" s="1">
        <v>3</v>
      </c>
      <c r="M38" s="1">
        <v>3</v>
      </c>
      <c r="N38">
        <v>1</v>
      </c>
      <c r="O38">
        <v>3</v>
      </c>
      <c r="P38">
        <v>82</v>
      </c>
    </row>
    <row r="39" spans="2:16" x14ac:dyDescent="0.2">
      <c r="B39">
        <v>6</v>
      </c>
      <c r="C39">
        <v>2</v>
      </c>
      <c r="D39" s="1">
        <v>2</v>
      </c>
      <c r="E39" s="1">
        <v>3</v>
      </c>
      <c r="F39" s="1">
        <v>3</v>
      </c>
      <c r="G39" s="1">
        <v>3</v>
      </c>
      <c r="H39" s="1">
        <v>3</v>
      </c>
      <c r="I39" s="1">
        <v>2</v>
      </c>
      <c r="J39" s="1">
        <v>3</v>
      </c>
      <c r="K39" s="1">
        <v>3</v>
      </c>
      <c r="L39" s="1">
        <v>3</v>
      </c>
      <c r="M39" s="1">
        <v>3</v>
      </c>
      <c r="N39" s="1">
        <v>1</v>
      </c>
      <c r="O39" s="1">
        <v>3</v>
      </c>
      <c r="P39" s="1">
        <v>82</v>
      </c>
    </row>
    <row r="40" spans="2:16" x14ac:dyDescent="0.2">
      <c r="B40">
        <v>6</v>
      </c>
      <c r="C40">
        <v>3</v>
      </c>
      <c r="D40" s="1">
        <v>2</v>
      </c>
      <c r="E40" s="1">
        <v>3</v>
      </c>
      <c r="F40" s="1">
        <v>3</v>
      </c>
      <c r="G40" s="1">
        <v>3</v>
      </c>
      <c r="H40" s="1">
        <v>3</v>
      </c>
      <c r="I40" s="1">
        <v>2</v>
      </c>
      <c r="J40" s="1">
        <v>3</v>
      </c>
      <c r="K40" s="1">
        <v>3</v>
      </c>
      <c r="L40" s="1">
        <v>3</v>
      </c>
      <c r="M40" s="1">
        <v>3</v>
      </c>
      <c r="N40" s="1">
        <v>1</v>
      </c>
      <c r="O40" s="1">
        <v>3</v>
      </c>
      <c r="P40" s="1">
        <v>82</v>
      </c>
    </row>
    <row r="41" spans="2:16" x14ac:dyDescent="0.2">
      <c r="B41">
        <v>6</v>
      </c>
      <c r="C41">
        <v>4</v>
      </c>
      <c r="D41" s="1">
        <v>2</v>
      </c>
      <c r="E41" s="1">
        <v>3</v>
      </c>
      <c r="F41" s="1">
        <v>3</v>
      </c>
      <c r="G41" s="1">
        <v>3</v>
      </c>
      <c r="H41" s="1">
        <v>3</v>
      </c>
      <c r="I41" s="1">
        <v>2</v>
      </c>
      <c r="J41" s="1">
        <v>3</v>
      </c>
      <c r="K41" s="1">
        <v>3</v>
      </c>
      <c r="L41" s="1">
        <v>3</v>
      </c>
      <c r="M41" s="1">
        <v>3</v>
      </c>
      <c r="N41" s="1">
        <v>1</v>
      </c>
      <c r="O41" s="1">
        <v>3</v>
      </c>
      <c r="P41" s="1">
        <v>82</v>
      </c>
    </row>
    <row r="42" spans="2:16" x14ac:dyDescent="0.2">
      <c r="B42">
        <v>6</v>
      </c>
      <c r="C42">
        <v>5</v>
      </c>
      <c r="D42" s="1">
        <v>2</v>
      </c>
      <c r="E42" s="1">
        <v>3</v>
      </c>
      <c r="F42" s="1">
        <v>3</v>
      </c>
      <c r="G42" s="1">
        <v>3</v>
      </c>
      <c r="H42" s="1">
        <v>3</v>
      </c>
      <c r="I42" s="1">
        <v>2</v>
      </c>
      <c r="J42" s="1">
        <v>3</v>
      </c>
      <c r="K42" s="1">
        <v>3</v>
      </c>
      <c r="L42" s="1">
        <v>3</v>
      </c>
      <c r="M42" s="1">
        <v>3</v>
      </c>
      <c r="N42" s="1">
        <v>1</v>
      </c>
      <c r="O42" s="1">
        <v>3</v>
      </c>
      <c r="P42" s="1">
        <v>82</v>
      </c>
    </row>
    <row r="43" spans="2:16" x14ac:dyDescent="0.2">
      <c r="B43">
        <v>2</v>
      </c>
      <c r="C43">
        <v>1</v>
      </c>
      <c r="D43" s="1">
        <v>2</v>
      </c>
      <c r="E43" s="1">
        <v>3</v>
      </c>
      <c r="F43" s="1">
        <v>3</v>
      </c>
      <c r="G43" s="1">
        <v>3</v>
      </c>
      <c r="H43" s="1">
        <v>3</v>
      </c>
      <c r="I43" s="1">
        <v>2</v>
      </c>
      <c r="J43" s="1">
        <v>3</v>
      </c>
      <c r="K43" s="1">
        <v>3</v>
      </c>
      <c r="L43" s="1">
        <v>3</v>
      </c>
      <c r="M43" s="1">
        <v>3</v>
      </c>
      <c r="N43" s="1">
        <v>1</v>
      </c>
      <c r="O43">
        <v>1</v>
      </c>
      <c r="P43">
        <v>82</v>
      </c>
    </row>
    <row r="44" spans="2:16" x14ac:dyDescent="0.2">
      <c r="B44">
        <v>2</v>
      </c>
      <c r="C44">
        <v>2</v>
      </c>
      <c r="D44" s="1">
        <v>2</v>
      </c>
      <c r="E44" s="1">
        <v>3</v>
      </c>
      <c r="F44" s="1">
        <v>3</v>
      </c>
      <c r="G44" s="1">
        <v>3</v>
      </c>
      <c r="H44" s="1">
        <v>3</v>
      </c>
      <c r="I44" s="1">
        <v>2</v>
      </c>
      <c r="J44" s="1">
        <v>3</v>
      </c>
      <c r="K44" s="1">
        <v>3</v>
      </c>
      <c r="L44" s="1">
        <v>3</v>
      </c>
      <c r="M44" s="1">
        <v>3</v>
      </c>
      <c r="N44" s="1">
        <v>1</v>
      </c>
      <c r="O44" s="1">
        <v>1</v>
      </c>
      <c r="P44" s="1">
        <v>82</v>
      </c>
    </row>
    <row r="45" spans="2:16" x14ac:dyDescent="0.2">
      <c r="B45">
        <v>2</v>
      </c>
      <c r="C45">
        <v>3</v>
      </c>
      <c r="D45" s="1">
        <v>2</v>
      </c>
      <c r="E45" s="1">
        <v>3</v>
      </c>
      <c r="F45" s="1">
        <v>3</v>
      </c>
      <c r="G45" s="1">
        <v>3</v>
      </c>
      <c r="H45" s="1">
        <v>3</v>
      </c>
      <c r="I45" s="1">
        <v>2</v>
      </c>
      <c r="J45" s="1">
        <v>3</v>
      </c>
      <c r="K45" s="1">
        <v>3</v>
      </c>
      <c r="L45" s="1">
        <v>3</v>
      </c>
      <c r="M45" s="1">
        <v>3</v>
      </c>
      <c r="N45" s="1">
        <v>1</v>
      </c>
      <c r="O45" s="1">
        <v>1</v>
      </c>
      <c r="P45" s="1">
        <v>82</v>
      </c>
    </row>
    <row r="46" spans="2:16" x14ac:dyDescent="0.2">
      <c r="B46">
        <v>2</v>
      </c>
      <c r="C46">
        <v>4</v>
      </c>
      <c r="D46" s="1">
        <v>2</v>
      </c>
      <c r="E46" s="1">
        <v>3</v>
      </c>
      <c r="F46" s="1">
        <v>3</v>
      </c>
      <c r="G46" s="1">
        <v>3</v>
      </c>
      <c r="H46" s="1">
        <v>3</v>
      </c>
      <c r="I46" s="1">
        <v>2</v>
      </c>
      <c r="J46" s="1">
        <v>3</v>
      </c>
      <c r="K46" s="1">
        <v>3</v>
      </c>
      <c r="L46" s="1">
        <v>3</v>
      </c>
      <c r="M46" s="1">
        <v>3</v>
      </c>
      <c r="N46" s="1">
        <v>1</v>
      </c>
      <c r="O46" s="1">
        <v>1</v>
      </c>
      <c r="P46" s="1">
        <v>82</v>
      </c>
    </row>
    <row r="47" spans="2:16" x14ac:dyDescent="0.2">
      <c r="B47">
        <v>10</v>
      </c>
      <c r="C47">
        <v>1</v>
      </c>
      <c r="D47" s="1">
        <v>2</v>
      </c>
      <c r="E47" s="1">
        <v>3</v>
      </c>
      <c r="F47" s="1">
        <v>3</v>
      </c>
      <c r="G47" s="1">
        <v>3</v>
      </c>
      <c r="H47" s="1">
        <v>3</v>
      </c>
      <c r="I47" s="1">
        <v>2</v>
      </c>
      <c r="J47" s="1">
        <v>3</v>
      </c>
      <c r="K47" s="1">
        <v>3</v>
      </c>
      <c r="L47" s="1">
        <v>3</v>
      </c>
      <c r="M47" s="1">
        <v>3</v>
      </c>
      <c r="N47">
        <v>3</v>
      </c>
      <c r="O47">
        <v>2</v>
      </c>
      <c r="P47">
        <v>90</v>
      </c>
    </row>
    <row r="48" spans="2:16" x14ac:dyDescent="0.2">
      <c r="B48">
        <v>10</v>
      </c>
      <c r="C48">
        <v>2</v>
      </c>
      <c r="D48" s="1">
        <v>2</v>
      </c>
      <c r="E48" s="1">
        <v>3</v>
      </c>
      <c r="F48" s="1">
        <v>3</v>
      </c>
      <c r="G48" s="1">
        <v>3</v>
      </c>
      <c r="H48" s="1">
        <v>3</v>
      </c>
      <c r="I48" s="1">
        <v>2</v>
      </c>
      <c r="J48" s="1">
        <v>3</v>
      </c>
      <c r="K48" s="1">
        <v>3</v>
      </c>
      <c r="L48" s="1">
        <v>3</v>
      </c>
      <c r="M48" s="1">
        <v>3</v>
      </c>
      <c r="N48" s="1">
        <v>3</v>
      </c>
      <c r="O48" s="1">
        <v>2</v>
      </c>
      <c r="P48" s="1">
        <v>90</v>
      </c>
    </row>
    <row r="49" spans="2:16" x14ac:dyDescent="0.2">
      <c r="B49">
        <v>10</v>
      </c>
      <c r="C49">
        <v>3</v>
      </c>
      <c r="D49" s="1">
        <v>2</v>
      </c>
      <c r="E49" s="1">
        <v>3</v>
      </c>
      <c r="F49" s="1">
        <v>3</v>
      </c>
      <c r="G49" s="1">
        <v>3</v>
      </c>
      <c r="H49" s="1">
        <v>3</v>
      </c>
      <c r="I49" s="1">
        <v>2</v>
      </c>
      <c r="J49" s="1">
        <v>3</v>
      </c>
      <c r="K49" s="1">
        <v>3</v>
      </c>
      <c r="L49" s="1">
        <v>3</v>
      </c>
      <c r="M49" s="1">
        <v>3</v>
      </c>
      <c r="N49" s="1">
        <v>3</v>
      </c>
      <c r="O49" s="1">
        <v>2</v>
      </c>
      <c r="P49" s="1">
        <v>90</v>
      </c>
    </row>
    <row r="50" spans="2:16" x14ac:dyDescent="0.2">
      <c r="B50">
        <v>10</v>
      </c>
      <c r="C50">
        <v>4</v>
      </c>
      <c r="D50" s="1">
        <v>2</v>
      </c>
      <c r="E50" s="1">
        <v>3</v>
      </c>
      <c r="F50" s="1">
        <v>3</v>
      </c>
      <c r="G50" s="1">
        <v>3</v>
      </c>
      <c r="H50" s="1">
        <v>3</v>
      </c>
      <c r="I50" s="1">
        <v>2</v>
      </c>
      <c r="J50" s="1">
        <v>3</v>
      </c>
      <c r="K50" s="1">
        <v>3</v>
      </c>
      <c r="L50" s="1">
        <v>3</v>
      </c>
      <c r="M50" s="1">
        <v>3</v>
      </c>
      <c r="N50" s="1">
        <v>3</v>
      </c>
      <c r="O50" s="1">
        <v>2</v>
      </c>
      <c r="P50" s="1">
        <v>90</v>
      </c>
    </row>
    <row r="51" spans="2:16" x14ac:dyDescent="0.2">
      <c r="B51">
        <v>9</v>
      </c>
      <c r="C51">
        <v>1</v>
      </c>
      <c r="D51">
        <v>3</v>
      </c>
      <c r="E51" s="1">
        <v>3</v>
      </c>
      <c r="F51" s="1">
        <v>3</v>
      </c>
      <c r="G51" s="1">
        <v>3</v>
      </c>
      <c r="H51" s="1">
        <v>3</v>
      </c>
      <c r="I51">
        <v>3</v>
      </c>
      <c r="J51" s="1">
        <v>3</v>
      </c>
      <c r="K51" s="1">
        <v>3</v>
      </c>
      <c r="L51" s="1">
        <v>3</v>
      </c>
      <c r="M51" s="1">
        <v>3</v>
      </c>
      <c r="N51" s="1">
        <v>3</v>
      </c>
      <c r="O51">
        <v>3</v>
      </c>
      <c r="P51">
        <v>94</v>
      </c>
    </row>
    <row r="52" spans="2:16" x14ac:dyDescent="0.2">
      <c r="B52">
        <v>9</v>
      </c>
      <c r="C52">
        <v>2</v>
      </c>
      <c r="D52" s="1">
        <v>3</v>
      </c>
      <c r="E52" s="1">
        <v>3</v>
      </c>
      <c r="F52" s="1">
        <v>3</v>
      </c>
      <c r="G52" s="1">
        <v>3</v>
      </c>
      <c r="H52" s="1">
        <v>3</v>
      </c>
      <c r="I52" s="1">
        <v>3</v>
      </c>
      <c r="J52" s="1">
        <v>3</v>
      </c>
      <c r="K52" s="1">
        <v>3</v>
      </c>
      <c r="L52" s="1">
        <v>3</v>
      </c>
      <c r="M52" s="1">
        <v>3</v>
      </c>
      <c r="N52" s="1">
        <v>3</v>
      </c>
      <c r="O52" s="1">
        <v>3</v>
      </c>
      <c r="P52" s="1">
        <v>94</v>
      </c>
    </row>
    <row r="53" spans="2:16" x14ac:dyDescent="0.2">
      <c r="B53">
        <v>9</v>
      </c>
      <c r="C53">
        <v>3</v>
      </c>
      <c r="D53" s="1">
        <v>3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3</v>
      </c>
      <c r="K53" s="1">
        <v>3</v>
      </c>
      <c r="L53" s="1">
        <v>3</v>
      </c>
      <c r="M53" s="1">
        <v>3</v>
      </c>
      <c r="N53" s="1">
        <v>3</v>
      </c>
      <c r="O53" s="1">
        <v>3</v>
      </c>
      <c r="P53" s="1">
        <v>94</v>
      </c>
    </row>
    <row r="54" spans="2:16" x14ac:dyDescent="0.2">
      <c r="B54">
        <v>9</v>
      </c>
      <c r="C54">
        <v>4</v>
      </c>
      <c r="D54" s="1">
        <v>3</v>
      </c>
      <c r="E54" s="1">
        <v>3</v>
      </c>
      <c r="F54" s="1">
        <v>3</v>
      </c>
      <c r="G54" s="1">
        <v>3</v>
      </c>
      <c r="H54" s="1">
        <v>3</v>
      </c>
      <c r="I54" s="1">
        <v>3</v>
      </c>
      <c r="J54" s="1">
        <v>3</v>
      </c>
      <c r="K54" s="1">
        <v>3</v>
      </c>
      <c r="L54" s="1">
        <v>3</v>
      </c>
      <c r="M54" s="1">
        <v>3</v>
      </c>
      <c r="N54" s="1">
        <v>3</v>
      </c>
      <c r="O54" s="1">
        <v>3</v>
      </c>
      <c r="P54" s="1">
        <v>94</v>
      </c>
    </row>
    <row r="55" spans="2:16" x14ac:dyDescent="0.2">
      <c r="B55">
        <v>3</v>
      </c>
      <c r="C55">
        <v>1</v>
      </c>
      <c r="D55">
        <v>2</v>
      </c>
      <c r="E55" s="1">
        <v>3</v>
      </c>
      <c r="F55" s="1">
        <v>3</v>
      </c>
      <c r="G55" s="1">
        <v>3</v>
      </c>
      <c r="H55" s="1">
        <v>3</v>
      </c>
      <c r="I55">
        <v>2</v>
      </c>
      <c r="J55" s="1">
        <v>3</v>
      </c>
      <c r="K55" s="1">
        <v>3</v>
      </c>
      <c r="L55" s="1">
        <v>3</v>
      </c>
      <c r="M55" s="1">
        <v>3</v>
      </c>
      <c r="N55">
        <v>1</v>
      </c>
      <c r="O55">
        <v>3</v>
      </c>
      <c r="P55">
        <v>80</v>
      </c>
    </row>
    <row r="56" spans="2:16" x14ac:dyDescent="0.2">
      <c r="B56">
        <v>3</v>
      </c>
      <c r="C56">
        <v>2</v>
      </c>
      <c r="D56" s="1">
        <v>2</v>
      </c>
      <c r="E56" s="1">
        <v>3</v>
      </c>
      <c r="F56" s="1">
        <v>3</v>
      </c>
      <c r="G56" s="1">
        <v>3</v>
      </c>
      <c r="H56" s="1">
        <v>3</v>
      </c>
      <c r="I56" s="1">
        <v>2</v>
      </c>
      <c r="J56" s="1">
        <v>3</v>
      </c>
      <c r="K56" s="1">
        <v>3</v>
      </c>
      <c r="L56" s="1">
        <v>3</v>
      </c>
      <c r="M56" s="1">
        <v>3</v>
      </c>
      <c r="N56" s="1">
        <v>1</v>
      </c>
      <c r="O56" s="1">
        <v>3</v>
      </c>
      <c r="P56" s="1">
        <v>80</v>
      </c>
    </row>
    <row r="57" spans="2:16" x14ac:dyDescent="0.2">
      <c r="B57">
        <v>3</v>
      </c>
      <c r="C57">
        <v>3</v>
      </c>
      <c r="D57" s="1">
        <v>2</v>
      </c>
      <c r="E57" s="1">
        <v>3</v>
      </c>
      <c r="F57" s="1">
        <v>3</v>
      </c>
      <c r="G57" s="1">
        <v>3</v>
      </c>
      <c r="H57" s="1">
        <v>3</v>
      </c>
      <c r="I57" s="1">
        <v>2</v>
      </c>
      <c r="J57" s="1">
        <v>3</v>
      </c>
      <c r="K57" s="1">
        <v>3</v>
      </c>
      <c r="L57" s="1">
        <v>3</v>
      </c>
      <c r="M57" s="1">
        <v>3</v>
      </c>
      <c r="N57" s="1">
        <v>1</v>
      </c>
      <c r="O57" s="1">
        <v>3</v>
      </c>
      <c r="P57" s="1">
        <v>80</v>
      </c>
    </row>
    <row r="58" spans="2:16" x14ac:dyDescent="0.2">
      <c r="B58">
        <v>3</v>
      </c>
      <c r="C58">
        <v>4</v>
      </c>
      <c r="D58" s="1">
        <v>2</v>
      </c>
      <c r="E58" s="1">
        <v>3</v>
      </c>
      <c r="F58" s="1">
        <v>3</v>
      </c>
      <c r="G58" s="1">
        <v>3</v>
      </c>
      <c r="H58" s="1">
        <v>3</v>
      </c>
      <c r="I58" s="1">
        <v>2</v>
      </c>
      <c r="J58" s="1">
        <v>3</v>
      </c>
      <c r="K58" s="1">
        <v>3</v>
      </c>
      <c r="L58" s="1">
        <v>3</v>
      </c>
      <c r="M58" s="1">
        <v>3</v>
      </c>
      <c r="N58" s="1">
        <v>1</v>
      </c>
      <c r="O58" s="1">
        <v>3</v>
      </c>
      <c r="P58" s="1">
        <v>80</v>
      </c>
    </row>
    <row r="59" spans="2:16" x14ac:dyDescent="0.2">
      <c r="D59" s="1"/>
      <c r="E59" s="1"/>
      <c r="F59" s="1"/>
      <c r="G59" s="1"/>
      <c r="I59" s="1"/>
      <c r="J59" s="1"/>
      <c r="K59" s="1"/>
      <c r="L59" s="1"/>
      <c r="M59" s="1"/>
      <c r="N59" s="1"/>
      <c r="O59" s="1"/>
      <c r="P59" s="1"/>
    </row>
    <row r="60" spans="2:16" x14ac:dyDescent="0.2">
      <c r="B60" t="s">
        <v>67</v>
      </c>
    </row>
    <row r="61" spans="2:16" x14ac:dyDescent="0.2">
      <c r="B61" s="15" t="s">
        <v>61</v>
      </c>
      <c r="D61" s="17" t="s">
        <v>19</v>
      </c>
      <c r="E61" s="17" t="s">
        <v>20</v>
      </c>
      <c r="F61" s="17" t="s">
        <v>21</v>
      </c>
      <c r="G61" s="17" t="s">
        <v>22</v>
      </c>
      <c r="H61" s="17" t="s">
        <v>23</v>
      </c>
      <c r="I61" s="17" t="s">
        <v>30</v>
      </c>
      <c r="J61" s="17" t="s">
        <v>31</v>
      </c>
      <c r="K61" s="17" t="s">
        <v>32</v>
      </c>
      <c r="L61" s="17" t="s">
        <v>33</v>
      </c>
      <c r="M61" s="17" t="s">
        <v>34</v>
      </c>
      <c r="N61" s="17" t="s">
        <v>35</v>
      </c>
      <c r="O61" s="17" t="s">
        <v>36</v>
      </c>
    </row>
    <row r="62" spans="2:16" x14ac:dyDescent="0.2">
      <c r="B62" s="15" t="s">
        <v>62</v>
      </c>
      <c r="D62" s="18">
        <v>3</v>
      </c>
      <c r="E62" s="18">
        <v>3</v>
      </c>
      <c r="F62" s="18">
        <v>3</v>
      </c>
      <c r="G62" s="18">
        <v>3</v>
      </c>
      <c r="H62" s="18">
        <v>3</v>
      </c>
      <c r="I62" s="18">
        <v>3</v>
      </c>
      <c r="J62" s="18" t="s">
        <v>65</v>
      </c>
      <c r="K62" s="18" t="s">
        <v>65</v>
      </c>
      <c r="L62" s="18" t="s">
        <v>65</v>
      </c>
      <c r="M62" s="18" t="s">
        <v>65</v>
      </c>
      <c r="N62" s="18" t="s">
        <v>65</v>
      </c>
      <c r="O62" s="18" t="s">
        <v>65</v>
      </c>
    </row>
    <row r="63" spans="2:16" x14ac:dyDescent="0.2">
      <c r="B63" s="15" t="s">
        <v>63</v>
      </c>
      <c r="D63" s="16">
        <f>AVERAGE(Table7[Clarity of Report])</f>
        <v>2.5087719298245612</v>
      </c>
      <c r="E63" s="16">
        <f>AVERAGE(Table7[Report Formatting])</f>
        <v>2.9298245614035086</v>
      </c>
      <c r="F63" s="16">
        <f>AVERAGE(Table7[Project Charter/ Design Plan])</f>
        <v>3</v>
      </c>
      <c r="G63" s="16">
        <f>AVERAGE(Table7[Clarity/Relevance/Heading/Numbering of Figures/Tables])</f>
        <v>2.8596491228070176</v>
      </c>
      <c r="H63" s="16">
        <f>AVERAGE(Table7[Referencing])</f>
        <v>3</v>
      </c>
      <c r="I63" s="16">
        <f>AVERAGE(Table7[Significant Figures])</f>
        <v>2.1403508771929824</v>
      </c>
      <c r="J63" s="16">
        <f>AVERAGE(Table7[Capital Cost])</f>
        <v>3</v>
      </c>
      <c r="K63" s="16">
        <f>AVERAGE(Table7[Equipment cost (hand vs Aspen)/ Discussion])</f>
        <v>3</v>
      </c>
      <c r="L63" s="16">
        <f>AVERAGE(Table7[VCOP/FCOP/Revenue])</f>
        <v>3</v>
      </c>
      <c r="M63" s="16">
        <f>AVERAGE(Table7[Simple Payback, ROI, DCFROR])</f>
        <v>2.9298245614035086</v>
      </c>
      <c r="N63" s="16">
        <f>AVERAGE(Table7[NPV])</f>
        <v>2.2280701754385963</v>
      </c>
      <c r="O63" s="16">
        <f>AVERAGE(Table7[Sensitivity Analysis/ Discussion])</f>
        <v>2.2280701754385963</v>
      </c>
    </row>
    <row r="64" spans="2:16" x14ac:dyDescent="0.2">
      <c r="B64" s="15" t="s">
        <v>64</v>
      </c>
      <c r="D64" s="18">
        <f>STDEV(Table7[Clarity of Report])</f>
        <v>0.50436689513912469</v>
      </c>
      <c r="E64" s="18">
        <f>STDEV(Table7[Report Formatting])</f>
        <v>0.25771309648570556</v>
      </c>
      <c r="F64" s="18">
        <f>STDEV(Table7[Project Charter/ Design Plan])</f>
        <v>0</v>
      </c>
      <c r="G64" s="18">
        <f>STDEV(Table7[Clarity/Relevance/Heading/Numbering of Figures/Tables])</f>
        <v>0.51542619297141168</v>
      </c>
      <c r="H64" s="18">
        <f>STDEV(Table7[Referencing])</f>
        <v>0</v>
      </c>
      <c r="I64" s="18">
        <f>STDEV(Table7[Significant Figures])</f>
        <v>0.35043832202523184</v>
      </c>
      <c r="J64" s="18">
        <f>STDEV(Table7[Capital Cost])</f>
        <v>0</v>
      </c>
      <c r="K64" s="18">
        <f>STDEV(Table7[Equipment cost (hand vs Aspen)/ Discussion])</f>
        <v>0</v>
      </c>
      <c r="L64" s="18">
        <f>STDEV(Table7[VCOP/FCOP/Revenue])</f>
        <v>0</v>
      </c>
      <c r="M64" s="18">
        <f>STDEV(Table7[Simple Payback, ROI, DCFROR])</f>
        <v>0.25771309648570551</v>
      </c>
      <c r="N64" s="18">
        <f>STDEV(Table7[NPV])</f>
        <v>0.94524267216053204</v>
      </c>
      <c r="O64" s="18">
        <f>STDEV(Table7[Sensitivity Analysis/ Discussion])</f>
        <v>0.56749902012656506</v>
      </c>
    </row>
    <row r="65" spans="2:4" x14ac:dyDescent="0.2">
      <c r="B65" s="1"/>
    </row>
    <row r="66" spans="2:4" x14ac:dyDescent="0.2">
      <c r="B66" s="15" t="s">
        <v>69</v>
      </c>
      <c r="D66" s="15">
        <f>AVERAGE(D63:O63)</f>
        <v>2.7353801169590639</v>
      </c>
    </row>
    <row r="67" spans="2:4" x14ac:dyDescent="0.2">
      <c r="B67" s="15" t="s">
        <v>66</v>
      </c>
      <c r="D67" s="15">
        <f>AVERAGE(J63:O63)</f>
        <v>2.7309941520467835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8FFA-03A5-49E2-B07F-4D34836AA38F}">
  <dimension ref="C1:P71"/>
  <sheetViews>
    <sheetView topLeftCell="A53" zoomScale="70" zoomScaleNormal="70" workbookViewId="0">
      <selection activeCell="J73" sqref="J73"/>
    </sheetView>
  </sheetViews>
  <sheetFormatPr baseColWidth="10" defaultColWidth="8.83203125" defaultRowHeight="15" x14ac:dyDescent="0.2"/>
  <cols>
    <col min="3" max="10" width="11.33203125" customWidth="1"/>
    <col min="11" max="15" width="11.33203125" style="1" customWidth="1"/>
    <col min="16" max="16" width="13.5" style="1" customWidth="1"/>
  </cols>
  <sheetData>
    <row r="1" spans="3:15" ht="21" customHeight="1" x14ac:dyDescent="0.2">
      <c r="C1" s="3" t="s">
        <v>0</v>
      </c>
      <c r="D1" s="3" t="s">
        <v>1</v>
      </c>
      <c r="E1" s="3" t="s">
        <v>13</v>
      </c>
      <c r="F1" s="3" t="s">
        <v>14</v>
      </c>
      <c r="G1" s="3" t="s">
        <v>15</v>
      </c>
      <c r="H1" s="3" t="s">
        <v>37</v>
      </c>
      <c r="I1" s="3" t="s">
        <v>38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39</v>
      </c>
      <c r="O1" s="3" t="s">
        <v>12</v>
      </c>
    </row>
    <row r="2" spans="3:15" ht="21" customHeight="1" x14ac:dyDescent="0.2">
      <c r="C2" s="3">
        <v>2</v>
      </c>
      <c r="D2" s="3">
        <v>1</v>
      </c>
      <c r="E2" s="3">
        <v>3</v>
      </c>
      <c r="F2" s="3">
        <v>2</v>
      </c>
      <c r="G2" s="3">
        <v>3</v>
      </c>
      <c r="H2" s="3">
        <v>3</v>
      </c>
      <c r="I2" s="3">
        <v>3</v>
      </c>
      <c r="J2" s="3">
        <v>3</v>
      </c>
      <c r="K2" s="3">
        <v>3</v>
      </c>
      <c r="L2" s="3">
        <v>2</v>
      </c>
      <c r="M2" s="3">
        <v>2</v>
      </c>
      <c r="N2" s="3">
        <v>3</v>
      </c>
      <c r="O2" s="3">
        <v>82</v>
      </c>
    </row>
    <row r="3" spans="3:15" ht="21" customHeight="1" x14ac:dyDescent="0.2">
      <c r="C3" s="3">
        <v>2</v>
      </c>
      <c r="D3" s="3">
        <v>2</v>
      </c>
      <c r="E3" s="3">
        <v>3</v>
      </c>
      <c r="F3" s="3">
        <v>2</v>
      </c>
      <c r="G3" s="3">
        <v>3</v>
      </c>
      <c r="H3" s="3">
        <v>3</v>
      </c>
      <c r="I3" s="3">
        <v>3</v>
      </c>
      <c r="J3" s="3">
        <v>3</v>
      </c>
      <c r="K3" s="3">
        <v>3</v>
      </c>
      <c r="L3" s="3">
        <v>2</v>
      </c>
      <c r="M3" s="3">
        <v>2</v>
      </c>
      <c r="N3" s="3">
        <v>3</v>
      </c>
      <c r="O3" s="3">
        <v>82</v>
      </c>
    </row>
    <row r="4" spans="3:15" ht="21" customHeight="1" x14ac:dyDescent="0.2">
      <c r="C4" s="3">
        <v>2</v>
      </c>
      <c r="D4" s="3">
        <v>3</v>
      </c>
      <c r="E4" s="3">
        <v>3</v>
      </c>
      <c r="F4" s="3">
        <v>2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2</v>
      </c>
      <c r="M4" s="3">
        <v>2</v>
      </c>
      <c r="N4" s="3">
        <v>3</v>
      </c>
      <c r="O4" s="3">
        <v>82</v>
      </c>
    </row>
    <row r="5" spans="3:15" ht="21" customHeight="1" x14ac:dyDescent="0.2">
      <c r="C5" s="3">
        <v>2</v>
      </c>
      <c r="D5" s="3">
        <v>4</v>
      </c>
      <c r="E5" s="3">
        <v>3</v>
      </c>
      <c r="F5" s="3">
        <v>2</v>
      </c>
      <c r="G5" s="3">
        <v>3</v>
      </c>
      <c r="H5" s="3">
        <v>3</v>
      </c>
      <c r="I5" s="3">
        <v>3</v>
      </c>
      <c r="J5" s="3">
        <v>3</v>
      </c>
      <c r="K5" s="3">
        <v>3</v>
      </c>
      <c r="L5" s="3">
        <v>2</v>
      </c>
      <c r="M5" s="3">
        <v>2</v>
      </c>
      <c r="N5" s="3">
        <v>3</v>
      </c>
      <c r="O5" s="3">
        <v>82</v>
      </c>
    </row>
    <row r="6" spans="3:15" ht="21" customHeight="1" x14ac:dyDescent="0.2">
      <c r="C6" s="3">
        <v>7</v>
      </c>
      <c r="D6" s="3">
        <v>1</v>
      </c>
      <c r="E6" s="3">
        <v>3</v>
      </c>
      <c r="F6" s="3">
        <v>3</v>
      </c>
      <c r="G6" s="3">
        <v>2</v>
      </c>
      <c r="H6" s="3">
        <v>3</v>
      </c>
      <c r="I6" s="3">
        <v>3</v>
      </c>
      <c r="J6" s="3">
        <v>1</v>
      </c>
      <c r="K6" s="3">
        <v>3</v>
      </c>
      <c r="L6" s="3">
        <v>3</v>
      </c>
      <c r="M6" s="3">
        <v>3</v>
      </c>
      <c r="N6" s="3">
        <v>3</v>
      </c>
      <c r="O6" s="3">
        <v>78</v>
      </c>
    </row>
    <row r="7" spans="3:15" ht="21" customHeight="1" x14ac:dyDescent="0.2">
      <c r="C7" s="3">
        <v>7</v>
      </c>
      <c r="D7" s="3">
        <v>2</v>
      </c>
      <c r="E7" s="3">
        <v>3</v>
      </c>
      <c r="F7" s="3">
        <v>3</v>
      </c>
      <c r="G7" s="3">
        <v>2</v>
      </c>
      <c r="H7" s="3">
        <v>3</v>
      </c>
      <c r="I7" s="3">
        <v>3</v>
      </c>
      <c r="J7" s="3">
        <v>1</v>
      </c>
      <c r="K7" s="3">
        <v>3</v>
      </c>
      <c r="L7" s="3">
        <v>3</v>
      </c>
      <c r="M7" s="3">
        <v>3</v>
      </c>
      <c r="N7" s="3">
        <v>3</v>
      </c>
      <c r="O7" s="3">
        <v>78</v>
      </c>
    </row>
    <row r="8" spans="3:15" ht="21" customHeight="1" x14ac:dyDescent="0.2">
      <c r="C8" s="3">
        <v>7</v>
      </c>
      <c r="D8" s="3">
        <v>3</v>
      </c>
      <c r="E8" s="3">
        <v>3</v>
      </c>
      <c r="F8" s="3">
        <v>3</v>
      </c>
      <c r="G8" s="3">
        <v>2</v>
      </c>
      <c r="H8" s="3">
        <v>3</v>
      </c>
      <c r="I8" s="3">
        <v>3</v>
      </c>
      <c r="J8" s="3">
        <v>1</v>
      </c>
      <c r="K8" s="3">
        <v>3</v>
      </c>
      <c r="L8" s="3">
        <v>3</v>
      </c>
      <c r="M8" s="3">
        <v>3</v>
      </c>
      <c r="N8" s="3">
        <v>3</v>
      </c>
      <c r="O8" s="3">
        <v>78</v>
      </c>
    </row>
    <row r="9" spans="3:15" ht="21" customHeight="1" x14ac:dyDescent="0.2">
      <c r="C9" s="3">
        <v>7</v>
      </c>
      <c r="D9" s="3">
        <v>4</v>
      </c>
      <c r="E9" s="3">
        <v>3</v>
      </c>
      <c r="F9" s="3">
        <v>3</v>
      </c>
      <c r="G9" s="3">
        <v>2</v>
      </c>
      <c r="H9" s="3">
        <v>3</v>
      </c>
      <c r="I9" s="3">
        <v>3</v>
      </c>
      <c r="J9" s="3">
        <v>1</v>
      </c>
      <c r="K9" s="3">
        <v>3</v>
      </c>
      <c r="L9" s="3">
        <v>3</v>
      </c>
      <c r="M9" s="3">
        <v>3</v>
      </c>
      <c r="N9" s="3">
        <v>3</v>
      </c>
      <c r="O9" s="3">
        <v>78</v>
      </c>
    </row>
    <row r="10" spans="3:15" ht="21" customHeight="1" x14ac:dyDescent="0.2">
      <c r="C10" s="3">
        <v>7</v>
      </c>
      <c r="D10" s="3">
        <v>5</v>
      </c>
      <c r="E10" s="3">
        <v>3</v>
      </c>
      <c r="F10" s="3">
        <v>3</v>
      </c>
      <c r="G10" s="3">
        <v>2</v>
      </c>
      <c r="H10" s="3">
        <v>3</v>
      </c>
      <c r="I10" s="3">
        <v>3</v>
      </c>
      <c r="J10" s="3">
        <v>1</v>
      </c>
      <c r="K10" s="3">
        <v>3</v>
      </c>
      <c r="L10" s="3">
        <v>3</v>
      </c>
      <c r="M10" s="3">
        <v>3</v>
      </c>
      <c r="N10" s="3">
        <v>3</v>
      </c>
      <c r="O10" s="3">
        <v>78</v>
      </c>
    </row>
    <row r="11" spans="3:15" ht="21" customHeight="1" x14ac:dyDescent="0.2">
      <c r="C11" s="3">
        <v>4</v>
      </c>
      <c r="D11" s="3">
        <v>1</v>
      </c>
      <c r="E11" s="3">
        <v>3</v>
      </c>
      <c r="F11" s="3">
        <v>3</v>
      </c>
      <c r="G11" s="3">
        <v>3</v>
      </c>
      <c r="H11" s="3">
        <v>3</v>
      </c>
      <c r="I11" s="3">
        <v>3</v>
      </c>
      <c r="J11" s="3">
        <v>3</v>
      </c>
      <c r="K11" s="3">
        <v>3</v>
      </c>
      <c r="L11" s="3">
        <v>3</v>
      </c>
      <c r="M11" s="3">
        <v>3</v>
      </c>
      <c r="N11" s="3">
        <v>3</v>
      </c>
      <c r="O11" s="3">
        <v>90</v>
      </c>
    </row>
    <row r="12" spans="3:15" ht="21" customHeight="1" x14ac:dyDescent="0.2">
      <c r="C12" s="3">
        <v>4</v>
      </c>
      <c r="D12" s="3">
        <v>2</v>
      </c>
      <c r="E12" s="3">
        <v>3</v>
      </c>
      <c r="F12" s="3">
        <v>3</v>
      </c>
      <c r="G12" s="3">
        <v>3</v>
      </c>
      <c r="H12" s="3">
        <v>3</v>
      </c>
      <c r="I12" s="3">
        <v>3</v>
      </c>
      <c r="J12" s="3">
        <v>3</v>
      </c>
      <c r="K12" s="3">
        <v>3</v>
      </c>
      <c r="L12" s="3">
        <v>3</v>
      </c>
      <c r="M12" s="3">
        <v>3</v>
      </c>
      <c r="N12" s="3">
        <v>3</v>
      </c>
      <c r="O12" s="3">
        <v>90</v>
      </c>
    </row>
    <row r="13" spans="3:15" ht="21" customHeight="1" x14ac:dyDescent="0.2">
      <c r="C13" s="3">
        <v>4</v>
      </c>
      <c r="D13" s="3">
        <v>3</v>
      </c>
      <c r="E13" s="3">
        <v>3</v>
      </c>
      <c r="F13" s="3">
        <v>3</v>
      </c>
      <c r="G13" s="3">
        <v>3</v>
      </c>
      <c r="H13" s="3">
        <v>3</v>
      </c>
      <c r="I13" s="3">
        <v>3</v>
      </c>
      <c r="J13" s="3">
        <v>3</v>
      </c>
      <c r="K13" s="3">
        <v>3</v>
      </c>
      <c r="L13" s="3">
        <v>3</v>
      </c>
      <c r="M13" s="3">
        <v>3</v>
      </c>
      <c r="N13" s="3">
        <v>3</v>
      </c>
      <c r="O13" s="3">
        <v>90</v>
      </c>
    </row>
    <row r="14" spans="3:15" ht="21" customHeight="1" x14ac:dyDescent="0.2">
      <c r="C14" s="3">
        <v>4</v>
      </c>
      <c r="D14" s="3">
        <v>4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3</v>
      </c>
      <c r="M14" s="3">
        <v>3</v>
      </c>
      <c r="N14" s="3">
        <v>3</v>
      </c>
      <c r="O14" s="3">
        <v>90</v>
      </c>
    </row>
    <row r="15" spans="3:15" ht="21" customHeight="1" x14ac:dyDescent="0.2">
      <c r="C15" s="3">
        <v>15</v>
      </c>
      <c r="D15" s="3">
        <v>1</v>
      </c>
      <c r="E15" s="3">
        <v>3</v>
      </c>
      <c r="F15" s="3">
        <v>3</v>
      </c>
      <c r="G15" s="3">
        <v>3</v>
      </c>
      <c r="H15" s="3">
        <v>3</v>
      </c>
      <c r="I15" s="3">
        <v>3</v>
      </c>
      <c r="J15" s="3">
        <v>3</v>
      </c>
      <c r="K15" s="3">
        <v>1</v>
      </c>
      <c r="L15" s="3">
        <v>3</v>
      </c>
      <c r="M15" s="3">
        <v>3</v>
      </c>
      <c r="N15" s="3">
        <v>2</v>
      </c>
      <c r="O15" s="3">
        <v>84</v>
      </c>
    </row>
    <row r="16" spans="3:15" ht="21" customHeight="1" x14ac:dyDescent="0.2">
      <c r="C16" s="3">
        <v>15</v>
      </c>
      <c r="D16" s="3">
        <v>2</v>
      </c>
      <c r="E16" s="3">
        <v>3</v>
      </c>
      <c r="F16" s="3">
        <v>3</v>
      </c>
      <c r="G16" s="3">
        <v>3</v>
      </c>
      <c r="H16" s="3">
        <v>3</v>
      </c>
      <c r="I16" s="3">
        <v>3</v>
      </c>
      <c r="J16" s="3">
        <v>3</v>
      </c>
      <c r="K16" s="3">
        <v>1</v>
      </c>
      <c r="L16" s="3">
        <v>3</v>
      </c>
      <c r="M16" s="3">
        <v>3</v>
      </c>
      <c r="N16" s="3">
        <v>2</v>
      </c>
      <c r="O16" s="3">
        <v>84</v>
      </c>
    </row>
    <row r="17" spans="3:15" ht="21" customHeight="1" x14ac:dyDescent="0.2">
      <c r="C17" s="3">
        <v>15</v>
      </c>
      <c r="D17" s="3">
        <v>3</v>
      </c>
      <c r="E17" s="3">
        <v>3</v>
      </c>
      <c r="F17" s="3">
        <v>3</v>
      </c>
      <c r="G17" s="3">
        <v>3</v>
      </c>
      <c r="H17" s="3">
        <v>3</v>
      </c>
      <c r="I17" s="3">
        <v>3</v>
      </c>
      <c r="J17" s="3">
        <v>3</v>
      </c>
      <c r="K17" s="3">
        <v>1</v>
      </c>
      <c r="L17" s="3">
        <v>3</v>
      </c>
      <c r="M17" s="3">
        <v>3</v>
      </c>
      <c r="N17" s="3">
        <v>2</v>
      </c>
      <c r="O17" s="3">
        <v>84</v>
      </c>
    </row>
    <row r="18" spans="3:15" ht="21" customHeight="1" x14ac:dyDescent="0.2">
      <c r="C18" s="3">
        <v>9</v>
      </c>
      <c r="D18" s="3">
        <v>1</v>
      </c>
      <c r="E18" s="3">
        <v>3</v>
      </c>
      <c r="F18" s="3">
        <v>3</v>
      </c>
      <c r="G18" s="3">
        <v>2</v>
      </c>
      <c r="H18" s="3">
        <v>3</v>
      </c>
      <c r="I18" s="3">
        <v>3</v>
      </c>
      <c r="J18" s="3">
        <v>3</v>
      </c>
      <c r="K18" s="3">
        <v>3</v>
      </c>
      <c r="L18" s="3">
        <v>1</v>
      </c>
      <c r="M18" s="3">
        <v>3</v>
      </c>
      <c r="N18" s="3">
        <v>1</v>
      </c>
      <c r="O18" s="3">
        <v>78</v>
      </c>
    </row>
    <row r="19" spans="3:15" ht="21" customHeight="1" x14ac:dyDescent="0.2">
      <c r="C19" s="3">
        <v>9</v>
      </c>
      <c r="D19" s="3">
        <v>2</v>
      </c>
      <c r="E19" s="3">
        <v>3</v>
      </c>
      <c r="F19" s="3">
        <v>3</v>
      </c>
      <c r="G19" s="3">
        <v>2</v>
      </c>
      <c r="H19" s="3">
        <v>3</v>
      </c>
      <c r="I19" s="3">
        <v>3</v>
      </c>
      <c r="J19" s="3">
        <v>3</v>
      </c>
      <c r="K19" s="3">
        <v>3</v>
      </c>
      <c r="L19" s="3">
        <v>1</v>
      </c>
      <c r="M19" s="3">
        <v>3</v>
      </c>
      <c r="N19" s="3">
        <v>1</v>
      </c>
      <c r="O19" s="3">
        <v>78</v>
      </c>
    </row>
    <row r="20" spans="3:15" ht="21" customHeight="1" x14ac:dyDescent="0.2">
      <c r="C20" s="3">
        <v>9</v>
      </c>
      <c r="D20" s="3">
        <v>3</v>
      </c>
      <c r="E20" s="3">
        <v>3</v>
      </c>
      <c r="F20" s="3">
        <v>3</v>
      </c>
      <c r="G20" s="3">
        <v>2</v>
      </c>
      <c r="H20" s="3">
        <v>3</v>
      </c>
      <c r="I20" s="3">
        <v>3</v>
      </c>
      <c r="J20" s="3">
        <v>3</v>
      </c>
      <c r="K20" s="3">
        <v>3</v>
      </c>
      <c r="L20" s="3">
        <v>1</v>
      </c>
      <c r="M20" s="3">
        <v>3</v>
      </c>
      <c r="N20" s="3">
        <v>1</v>
      </c>
      <c r="O20" s="3">
        <v>78</v>
      </c>
    </row>
    <row r="21" spans="3:15" ht="21" customHeight="1" x14ac:dyDescent="0.2">
      <c r="C21" s="3">
        <v>9</v>
      </c>
      <c r="D21" s="3">
        <v>5</v>
      </c>
      <c r="E21" s="3">
        <v>3</v>
      </c>
      <c r="F21" s="3">
        <v>3</v>
      </c>
      <c r="G21" s="3">
        <v>2</v>
      </c>
      <c r="H21" s="3">
        <v>3</v>
      </c>
      <c r="I21" s="3">
        <v>3</v>
      </c>
      <c r="J21" s="3">
        <v>3</v>
      </c>
      <c r="K21" s="3">
        <v>3</v>
      </c>
      <c r="L21" s="3">
        <v>1</v>
      </c>
      <c r="M21" s="3">
        <v>3</v>
      </c>
      <c r="N21" s="3">
        <v>1</v>
      </c>
      <c r="O21" s="3">
        <v>78</v>
      </c>
    </row>
    <row r="22" spans="3:15" ht="21" customHeight="1" x14ac:dyDescent="0.2">
      <c r="C22" s="3">
        <v>6</v>
      </c>
      <c r="D22" s="3">
        <v>1</v>
      </c>
      <c r="E22" s="3">
        <v>3</v>
      </c>
      <c r="F22" s="3">
        <v>3</v>
      </c>
      <c r="G22" s="3">
        <v>3</v>
      </c>
      <c r="H22" s="3">
        <v>3</v>
      </c>
      <c r="I22" s="3">
        <v>3</v>
      </c>
      <c r="J22" s="3">
        <v>3</v>
      </c>
      <c r="K22" s="3">
        <v>3</v>
      </c>
      <c r="L22" s="3">
        <v>3</v>
      </c>
      <c r="M22" s="3">
        <v>3</v>
      </c>
      <c r="N22" s="3">
        <v>3</v>
      </c>
      <c r="O22" s="3">
        <v>94</v>
      </c>
    </row>
    <row r="23" spans="3:15" ht="21" customHeight="1" x14ac:dyDescent="0.2">
      <c r="C23" s="3">
        <v>6</v>
      </c>
      <c r="D23" s="3">
        <v>2</v>
      </c>
      <c r="E23" s="3">
        <v>3</v>
      </c>
      <c r="F23" s="3">
        <v>3</v>
      </c>
      <c r="G23" s="3">
        <v>3</v>
      </c>
      <c r="H23" s="3">
        <v>3</v>
      </c>
      <c r="I23" s="3">
        <v>3</v>
      </c>
      <c r="J23" s="3">
        <v>3</v>
      </c>
      <c r="K23" s="3">
        <v>3</v>
      </c>
      <c r="L23" s="3">
        <v>3</v>
      </c>
      <c r="M23" s="3">
        <v>3</v>
      </c>
      <c r="N23" s="3">
        <v>3</v>
      </c>
      <c r="O23" s="3">
        <v>94</v>
      </c>
    </row>
    <row r="24" spans="3:15" ht="21" customHeight="1" x14ac:dyDescent="0.2">
      <c r="C24" s="3">
        <v>6</v>
      </c>
      <c r="D24" s="3">
        <v>3</v>
      </c>
      <c r="E24" s="3">
        <v>3</v>
      </c>
      <c r="F24" s="3">
        <v>3</v>
      </c>
      <c r="G24" s="3">
        <v>3</v>
      </c>
      <c r="H24" s="3">
        <v>3</v>
      </c>
      <c r="I24" s="3">
        <v>3</v>
      </c>
      <c r="J24" s="3">
        <v>3</v>
      </c>
      <c r="K24" s="3">
        <v>3</v>
      </c>
      <c r="L24" s="3">
        <v>3</v>
      </c>
      <c r="M24" s="3">
        <v>3</v>
      </c>
      <c r="N24" s="3">
        <v>3</v>
      </c>
      <c r="O24" s="3">
        <v>94</v>
      </c>
    </row>
    <row r="25" spans="3:15" ht="21" customHeight="1" x14ac:dyDescent="0.2">
      <c r="C25" s="3">
        <v>6</v>
      </c>
      <c r="D25" s="3">
        <v>4</v>
      </c>
      <c r="E25" s="3">
        <v>3</v>
      </c>
      <c r="F25" s="3">
        <v>3</v>
      </c>
      <c r="G25" s="3">
        <v>3</v>
      </c>
      <c r="H25" s="3">
        <v>3</v>
      </c>
      <c r="I25" s="3">
        <v>3</v>
      </c>
      <c r="J25" s="3">
        <v>3</v>
      </c>
      <c r="K25" s="3">
        <v>3</v>
      </c>
      <c r="L25" s="3">
        <v>3</v>
      </c>
      <c r="M25" s="3">
        <v>3</v>
      </c>
      <c r="N25" s="3">
        <v>3</v>
      </c>
      <c r="O25" s="3">
        <v>94</v>
      </c>
    </row>
    <row r="26" spans="3:15" ht="21" customHeight="1" x14ac:dyDescent="0.2">
      <c r="C26" s="3">
        <v>6</v>
      </c>
      <c r="D26" s="3">
        <v>5</v>
      </c>
      <c r="E26" s="3">
        <v>3</v>
      </c>
      <c r="F26" s="3">
        <v>3</v>
      </c>
      <c r="G26" s="3">
        <v>3</v>
      </c>
      <c r="H26" s="3">
        <v>3</v>
      </c>
      <c r="I26" s="3">
        <v>3</v>
      </c>
      <c r="J26" s="3">
        <v>3</v>
      </c>
      <c r="K26" s="3">
        <v>3</v>
      </c>
      <c r="L26" s="3">
        <v>3</v>
      </c>
      <c r="M26" s="3">
        <v>3</v>
      </c>
      <c r="N26" s="3">
        <v>3</v>
      </c>
      <c r="O26" s="3">
        <v>94</v>
      </c>
    </row>
    <row r="27" spans="3:15" ht="21" customHeight="1" x14ac:dyDescent="0.2">
      <c r="C27" s="3">
        <v>14</v>
      </c>
      <c r="D27" s="3">
        <v>1</v>
      </c>
      <c r="E27" s="3">
        <v>3</v>
      </c>
      <c r="F27" s="3">
        <v>3</v>
      </c>
      <c r="G27" s="3">
        <v>3</v>
      </c>
      <c r="H27" s="3">
        <v>3</v>
      </c>
      <c r="I27" s="3">
        <v>3</v>
      </c>
      <c r="J27" s="3">
        <v>3</v>
      </c>
      <c r="K27" s="3">
        <v>3</v>
      </c>
      <c r="L27" s="3">
        <v>3</v>
      </c>
      <c r="M27" s="3">
        <v>2</v>
      </c>
      <c r="N27" s="3">
        <v>2</v>
      </c>
      <c r="O27" s="3">
        <v>84</v>
      </c>
    </row>
    <row r="28" spans="3:15" ht="21" customHeight="1" x14ac:dyDescent="0.2">
      <c r="C28" s="3">
        <v>14</v>
      </c>
      <c r="D28" s="3">
        <v>2</v>
      </c>
      <c r="E28" s="3">
        <v>3</v>
      </c>
      <c r="F28" s="3">
        <v>3</v>
      </c>
      <c r="G28" s="3">
        <v>3</v>
      </c>
      <c r="H28" s="3">
        <v>3</v>
      </c>
      <c r="I28" s="3">
        <v>3</v>
      </c>
      <c r="J28" s="3">
        <v>3</v>
      </c>
      <c r="K28" s="3">
        <v>3</v>
      </c>
      <c r="L28" s="3">
        <v>3</v>
      </c>
      <c r="M28" s="3">
        <v>2</v>
      </c>
      <c r="N28" s="3">
        <v>2</v>
      </c>
      <c r="O28" s="3">
        <v>84</v>
      </c>
    </row>
    <row r="29" spans="3:15" ht="21" customHeight="1" x14ac:dyDescent="0.2">
      <c r="C29" s="3">
        <v>14</v>
      </c>
      <c r="D29" s="3">
        <v>3</v>
      </c>
      <c r="E29" s="3">
        <v>3</v>
      </c>
      <c r="F29" s="3">
        <v>3</v>
      </c>
      <c r="G29" s="3">
        <v>3</v>
      </c>
      <c r="H29" s="3">
        <v>3</v>
      </c>
      <c r="I29" s="3">
        <v>3</v>
      </c>
      <c r="J29" s="3">
        <v>3</v>
      </c>
      <c r="K29" s="3">
        <v>3</v>
      </c>
      <c r="L29" s="3">
        <v>3</v>
      </c>
      <c r="M29" s="3">
        <v>2</v>
      </c>
      <c r="N29" s="3">
        <v>2</v>
      </c>
      <c r="O29" s="3">
        <v>84</v>
      </c>
    </row>
    <row r="30" spans="3:15" ht="21" customHeight="1" x14ac:dyDescent="0.2">
      <c r="C30" s="3">
        <v>14</v>
      </c>
      <c r="D30" s="3">
        <v>4</v>
      </c>
      <c r="E30" s="3">
        <v>3</v>
      </c>
      <c r="F30" s="3">
        <v>3</v>
      </c>
      <c r="G30" s="3">
        <v>3</v>
      </c>
      <c r="H30" s="3">
        <v>3</v>
      </c>
      <c r="I30" s="3">
        <v>3</v>
      </c>
      <c r="J30" s="3">
        <v>3</v>
      </c>
      <c r="K30" s="3">
        <v>3</v>
      </c>
      <c r="L30" s="3">
        <v>3</v>
      </c>
      <c r="M30" s="3">
        <v>2</v>
      </c>
      <c r="N30" s="3">
        <v>2</v>
      </c>
      <c r="O30" s="3">
        <v>84</v>
      </c>
    </row>
    <row r="31" spans="3:15" ht="21" customHeight="1" x14ac:dyDescent="0.2">
      <c r="C31" s="3">
        <v>12</v>
      </c>
      <c r="D31" s="3">
        <v>1</v>
      </c>
      <c r="E31" s="3">
        <v>3</v>
      </c>
      <c r="F31" s="3">
        <v>3</v>
      </c>
      <c r="G31" s="3">
        <v>3</v>
      </c>
      <c r="H31" s="3">
        <v>3</v>
      </c>
      <c r="I31" s="3">
        <v>3</v>
      </c>
      <c r="J31" s="3">
        <v>3</v>
      </c>
      <c r="K31" s="3">
        <v>3</v>
      </c>
      <c r="L31" s="3">
        <v>3</v>
      </c>
      <c r="M31" s="3">
        <v>3</v>
      </c>
      <c r="N31" s="3">
        <v>3</v>
      </c>
      <c r="O31" s="3">
        <v>90</v>
      </c>
    </row>
    <row r="32" spans="3:15" ht="21" customHeight="1" x14ac:dyDescent="0.2">
      <c r="C32" s="3">
        <v>12</v>
      </c>
      <c r="D32" s="3">
        <v>2</v>
      </c>
      <c r="E32" s="3">
        <v>3</v>
      </c>
      <c r="F32" s="3">
        <v>3</v>
      </c>
      <c r="G32" s="3">
        <v>3</v>
      </c>
      <c r="H32" s="3">
        <v>3</v>
      </c>
      <c r="I32" s="3">
        <v>3</v>
      </c>
      <c r="J32" s="3">
        <v>3</v>
      </c>
      <c r="K32" s="3">
        <v>3</v>
      </c>
      <c r="L32" s="3">
        <v>3</v>
      </c>
      <c r="M32" s="3">
        <v>3</v>
      </c>
      <c r="N32" s="3">
        <v>3</v>
      </c>
      <c r="O32" s="3">
        <v>90</v>
      </c>
    </row>
    <row r="33" spans="3:15" ht="21" customHeight="1" x14ac:dyDescent="0.2">
      <c r="C33" s="3">
        <v>12</v>
      </c>
      <c r="D33" s="3">
        <v>3</v>
      </c>
      <c r="E33" s="3">
        <v>3</v>
      </c>
      <c r="F33" s="3">
        <v>3</v>
      </c>
      <c r="G33" s="3">
        <v>3</v>
      </c>
      <c r="H33" s="3">
        <v>3</v>
      </c>
      <c r="I33" s="3">
        <v>3</v>
      </c>
      <c r="J33" s="3">
        <v>3</v>
      </c>
      <c r="K33" s="3">
        <v>3</v>
      </c>
      <c r="L33" s="3">
        <v>3</v>
      </c>
      <c r="M33" s="3">
        <v>3</v>
      </c>
      <c r="N33" s="3">
        <v>3</v>
      </c>
      <c r="O33" s="3">
        <v>90</v>
      </c>
    </row>
    <row r="34" spans="3:15" ht="21" customHeight="1" x14ac:dyDescent="0.2">
      <c r="C34" s="3">
        <v>12</v>
      </c>
      <c r="D34" s="3">
        <v>4</v>
      </c>
      <c r="E34" s="3">
        <v>3</v>
      </c>
      <c r="F34" s="3">
        <v>3</v>
      </c>
      <c r="G34" s="3">
        <v>3</v>
      </c>
      <c r="H34" s="3">
        <v>3</v>
      </c>
      <c r="I34" s="3">
        <v>3</v>
      </c>
      <c r="J34" s="3">
        <v>3</v>
      </c>
      <c r="K34" s="3">
        <v>3</v>
      </c>
      <c r="L34" s="3">
        <v>3</v>
      </c>
      <c r="M34" s="3">
        <v>3</v>
      </c>
      <c r="N34" s="3">
        <v>3</v>
      </c>
      <c r="O34" s="3">
        <v>90</v>
      </c>
    </row>
    <row r="35" spans="3:15" ht="21" customHeight="1" x14ac:dyDescent="0.2">
      <c r="C35" s="3">
        <v>11</v>
      </c>
      <c r="D35" s="3">
        <v>1</v>
      </c>
      <c r="E35" s="3">
        <v>3</v>
      </c>
      <c r="F35" s="3">
        <v>3</v>
      </c>
      <c r="G35" s="3">
        <v>1</v>
      </c>
      <c r="H35" s="3">
        <v>3</v>
      </c>
      <c r="I35" s="3">
        <v>3</v>
      </c>
      <c r="J35" s="3">
        <v>3</v>
      </c>
      <c r="K35" s="3">
        <v>3</v>
      </c>
      <c r="L35" s="3">
        <v>3</v>
      </c>
      <c r="M35" s="3">
        <v>3</v>
      </c>
      <c r="N35" s="3">
        <v>3</v>
      </c>
      <c r="O35" s="3">
        <v>90</v>
      </c>
    </row>
    <row r="36" spans="3:15" ht="21" customHeight="1" x14ac:dyDescent="0.2">
      <c r="C36" s="3">
        <v>11</v>
      </c>
      <c r="D36" s="3">
        <v>2</v>
      </c>
      <c r="E36" s="3">
        <v>3</v>
      </c>
      <c r="F36" s="3">
        <v>3</v>
      </c>
      <c r="G36" s="3">
        <v>1</v>
      </c>
      <c r="H36" s="3">
        <v>3</v>
      </c>
      <c r="I36" s="3">
        <v>3</v>
      </c>
      <c r="J36" s="3">
        <v>3</v>
      </c>
      <c r="K36" s="3">
        <v>3</v>
      </c>
      <c r="L36" s="3">
        <v>3</v>
      </c>
      <c r="M36" s="3">
        <v>3</v>
      </c>
      <c r="N36" s="3">
        <v>3</v>
      </c>
      <c r="O36" s="3">
        <v>90</v>
      </c>
    </row>
    <row r="37" spans="3:15" ht="21" customHeight="1" x14ac:dyDescent="0.2">
      <c r="C37" s="3">
        <v>11</v>
      </c>
      <c r="D37" s="3">
        <v>3</v>
      </c>
      <c r="E37" s="3">
        <v>3</v>
      </c>
      <c r="F37" s="3">
        <v>3</v>
      </c>
      <c r="G37" s="3">
        <v>1</v>
      </c>
      <c r="H37" s="3">
        <v>3</v>
      </c>
      <c r="I37" s="3">
        <v>3</v>
      </c>
      <c r="J37" s="3">
        <v>3</v>
      </c>
      <c r="K37" s="3">
        <v>3</v>
      </c>
      <c r="L37" s="3">
        <v>3</v>
      </c>
      <c r="M37" s="3">
        <v>3</v>
      </c>
      <c r="N37" s="3">
        <v>3</v>
      </c>
      <c r="O37" s="3">
        <v>90</v>
      </c>
    </row>
    <row r="38" spans="3:15" ht="21" customHeight="1" x14ac:dyDescent="0.2">
      <c r="C38" s="3">
        <v>11</v>
      </c>
      <c r="D38" s="3">
        <v>4</v>
      </c>
      <c r="E38" s="3">
        <v>3</v>
      </c>
      <c r="F38" s="3">
        <v>3</v>
      </c>
      <c r="G38" s="3">
        <v>1</v>
      </c>
      <c r="H38" s="3">
        <v>3</v>
      </c>
      <c r="I38" s="3">
        <v>3</v>
      </c>
      <c r="J38" s="3">
        <v>3</v>
      </c>
      <c r="K38" s="3">
        <v>3</v>
      </c>
      <c r="L38" s="3">
        <v>3</v>
      </c>
      <c r="M38" s="3">
        <v>3</v>
      </c>
      <c r="N38" s="3">
        <v>3</v>
      </c>
      <c r="O38" s="3">
        <v>90</v>
      </c>
    </row>
    <row r="39" spans="3:15" ht="21" customHeight="1" x14ac:dyDescent="0.2">
      <c r="C39" s="3">
        <v>10</v>
      </c>
      <c r="D39" s="3">
        <v>1</v>
      </c>
      <c r="E39" s="3">
        <v>3</v>
      </c>
      <c r="F39" s="3">
        <v>3</v>
      </c>
      <c r="G39" s="3">
        <v>3</v>
      </c>
      <c r="H39" s="3">
        <v>3</v>
      </c>
      <c r="I39" s="3">
        <v>3</v>
      </c>
      <c r="J39" s="3">
        <v>3</v>
      </c>
      <c r="K39" s="3">
        <v>3</v>
      </c>
      <c r="L39" s="3">
        <v>3</v>
      </c>
      <c r="M39" s="3">
        <v>3</v>
      </c>
      <c r="N39" s="3">
        <v>3</v>
      </c>
      <c r="O39" s="3">
        <v>96</v>
      </c>
    </row>
    <row r="40" spans="3:15" ht="21" customHeight="1" x14ac:dyDescent="0.2">
      <c r="C40" s="3">
        <v>10</v>
      </c>
      <c r="D40" s="3">
        <v>2</v>
      </c>
      <c r="E40" s="3">
        <v>3</v>
      </c>
      <c r="F40" s="3">
        <v>3</v>
      </c>
      <c r="G40" s="3">
        <v>3</v>
      </c>
      <c r="H40" s="3">
        <v>3</v>
      </c>
      <c r="I40" s="3">
        <v>3</v>
      </c>
      <c r="J40" s="3">
        <v>3</v>
      </c>
      <c r="K40" s="3">
        <v>3</v>
      </c>
      <c r="L40" s="3">
        <v>3</v>
      </c>
      <c r="M40" s="3">
        <v>3</v>
      </c>
      <c r="N40" s="3">
        <v>3</v>
      </c>
      <c r="O40" s="3">
        <v>96</v>
      </c>
    </row>
    <row r="41" spans="3:15" ht="21" customHeight="1" x14ac:dyDescent="0.2">
      <c r="C41" s="3">
        <v>10</v>
      </c>
      <c r="D41" s="3">
        <v>3</v>
      </c>
      <c r="E41" s="3">
        <v>3</v>
      </c>
      <c r="F41" s="3">
        <v>3</v>
      </c>
      <c r="G41" s="3">
        <v>3</v>
      </c>
      <c r="H41" s="3">
        <v>3</v>
      </c>
      <c r="I41" s="3">
        <v>3</v>
      </c>
      <c r="J41" s="3">
        <v>3</v>
      </c>
      <c r="K41" s="3">
        <v>3</v>
      </c>
      <c r="L41" s="3">
        <v>3</v>
      </c>
      <c r="M41" s="3">
        <v>3</v>
      </c>
      <c r="N41" s="3">
        <v>3</v>
      </c>
      <c r="O41" s="3">
        <v>96</v>
      </c>
    </row>
    <row r="42" spans="3:15" ht="21" customHeight="1" x14ac:dyDescent="0.2">
      <c r="C42" s="3">
        <v>10</v>
      </c>
      <c r="D42" s="3">
        <v>4</v>
      </c>
      <c r="E42" s="3">
        <v>3</v>
      </c>
      <c r="F42" s="3">
        <v>3</v>
      </c>
      <c r="G42" s="3">
        <v>3</v>
      </c>
      <c r="H42" s="3">
        <v>3</v>
      </c>
      <c r="I42" s="3">
        <v>3</v>
      </c>
      <c r="J42" s="3">
        <v>3</v>
      </c>
      <c r="K42" s="3">
        <v>3</v>
      </c>
      <c r="L42" s="3">
        <v>3</v>
      </c>
      <c r="M42" s="3">
        <v>3</v>
      </c>
      <c r="N42" s="3">
        <v>3</v>
      </c>
      <c r="O42" s="3">
        <v>96</v>
      </c>
    </row>
    <row r="43" spans="3:15" ht="21" customHeight="1" x14ac:dyDescent="0.2">
      <c r="C43" s="3">
        <v>8</v>
      </c>
      <c r="D43" s="3">
        <v>1</v>
      </c>
      <c r="E43" s="3">
        <v>3</v>
      </c>
      <c r="F43" s="3">
        <v>3</v>
      </c>
      <c r="G43" s="3">
        <v>3</v>
      </c>
      <c r="H43" s="3">
        <v>3</v>
      </c>
      <c r="I43" s="3">
        <v>3</v>
      </c>
      <c r="J43" s="3">
        <v>3</v>
      </c>
      <c r="K43" s="3">
        <v>3</v>
      </c>
      <c r="L43" s="3">
        <v>3</v>
      </c>
      <c r="M43" s="3">
        <v>3</v>
      </c>
      <c r="N43" s="3">
        <v>1</v>
      </c>
      <c r="O43" s="3">
        <v>92</v>
      </c>
    </row>
    <row r="44" spans="3:15" ht="21" customHeight="1" x14ac:dyDescent="0.2">
      <c r="C44" s="3">
        <v>8</v>
      </c>
      <c r="D44" s="3">
        <v>2</v>
      </c>
      <c r="E44" s="3">
        <v>3</v>
      </c>
      <c r="F44" s="3">
        <v>3</v>
      </c>
      <c r="G44" s="3">
        <v>3</v>
      </c>
      <c r="H44" s="3">
        <v>3</v>
      </c>
      <c r="I44" s="3">
        <v>3</v>
      </c>
      <c r="J44" s="3">
        <v>3</v>
      </c>
      <c r="K44" s="3">
        <v>3</v>
      </c>
      <c r="L44" s="3">
        <v>3</v>
      </c>
      <c r="M44" s="3">
        <v>3</v>
      </c>
      <c r="N44" s="3">
        <v>1</v>
      </c>
      <c r="O44" s="3">
        <v>92</v>
      </c>
    </row>
    <row r="45" spans="3:15" ht="21" customHeight="1" x14ac:dyDescent="0.2">
      <c r="C45" s="3">
        <v>8</v>
      </c>
      <c r="D45" s="3">
        <v>3</v>
      </c>
      <c r="E45" s="3">
        <v>3</v>
      </c>
      <c r="F45" s="3">
        <v>3</v>
      </c>
      <c r="G45" s="3">
        <v>3</v>
      </c>
      <c r="H45" s="3">
        <v>3</v>
      </c>
      <c r="I45" s="3">
        <v>3</v>
      </c>
      <c r="J45" s="3">
        <v>3</v>
      </c>
      <c r="K45" s="3">
        <v>3</v>
      </c>
      <c r="L45" s="3">
        <v>3</v>
      </c>
      <c r="M45" s="3">
        <v>3</v>
      </c>
      <c r="N45" s="3">
        <v>1</v>
      </c>
      <c r="O45" s="3">
        <v>92</v>
      </c>
    </row>
    <row r="46" spans="3:15" ht="21" customHeight="1" x14ac:dyDescent="0.2">
      <c r="C46" s="3">
        <v>8</v>
      </c>
      <c r="D46" s="3">
        <v>4</v>
      </c>
      <c r="E46" s="3">
        <v>3</v>
      </c>
      <c r="F46" s="3">
        <v>3</v>
      </c>
      <c r="G46" s="3">
        <v>3</v>
      </c>
      <c r="H46" s="3">
        <v>3</v>
      </c>
      <c r="I46" s="3">
        <v>3</v>
      </c>
      <c r="J46" s="3">
        <v>3</v>
      </c>
      <c r="K46" s="3">
        <v>3</v>
      </c>
      <c r="L46" s="3">
        <v>3</v>
      </c>
      <c r="M46" s="3">
        <v>3</v>
      </c>
      <c r="N46" s="3">
        <v>1</v>
      </c>
      <c r="O46" s="3">
        <v>92</v>
      </c>
    </row>
    <row r="47" spans="3:15" ht="21" customHeight="1" x14ac:dyDescent="0.2">
      <c r="C47" s="3">
        <v>13</v>
      </c>
      <c r="D47" s="3">
        <v>1</v>
      </c>
      <c r="E47" s="3">
        <v>3</v>
      </c>
      <c r="F47" s="3">
        <v>3</v>
      </c>
      <c r="G47" s="3">
        <v>3</v>
      </c>
      <c r="H47" s="3">
        <v>3</v>
      </c>
      <c r="I47" s="3">
        <v>3</v>
      </c>
      <c r="J47" s="3">
        <v>3</v>
      </c>
      <c r="K47" s="3">
        <v>3</v>
      </c>
      <c r="L47" s="3">
        <v>3</v>
      </c>
      <c r="M47" s="3">
        <v>3</v>
      </c>
      <c r="N47" s="3">
        <v>3</v>
      </c>
      <c r="O47" s="3">
        <v>94</v>
      </c>
    </row>
    <row r="48" spans="3:15" ht="21" customHeight="1" x14ac:dyDescent="0.2">
      <c r="C48" s="3">
        <v>13</v>
      </c>
      <c r="D48" s="3">
        <v>2</v>
      </c>
      <c r="E48" s="3">
        <v>3</v>
      </c>
      <c r="F48" s="3">
        <v>3</v>
      </c>
      <c r="G48" s="3">
        <v>3</v>
      </c>
      <c r="H48" s="3">
        <v>3</v>
      </c>
      <c r="I48" s="3">
        <v>3</v>
      </c>
      <c r="J48" s="3">
        <v>3</v>
      </c>
      <c r="K48" s="3">
        <v>3</v>
      </c>
      <c r="L48" s="3">
        <v>3</v>
      </c>
      <c r="M48" s="3">
        <v>3</v>
      </c>
      <c r="N48" s="3">
        <v>3</v>
      </c>
      <c r="O48" s="3">
        <v>94</v>
      </c>
    </row>
    <row r="49" spans="3:15" ht="21" customHeight="1" x14ac:dyDescent="0.2">
      <c r="C49" s="3">
        <v>13</v>
      </c>
      <c r="D49" s="3">
        <v>3</v>
      </c>
      <c r="E49" s="3">
        <v>3</v>
      </c>
      <c r="F49" s="3">
        <v>3</v>
      </c>
      <c r="G49" s="3">
        <v>3</v>
      </c>
      <c r="H49" s="3">
        <v>3</v>
      </c>
      <c r="I49" s="3">
        <v>3</v>
      </c>
      <c r="J49" s="3">
        <v>3</v>
      </c>
      <c r="K49" s="3">
        <v>3</v>
      </c>
      <c r="L49" s="3">
        <v>3</v>
      </c>
      <c r="M49" s="3">
        <v>3</v>
      </c>
      <c r="N49" s="3">
        <v>3</v>
      </c>
      <c r="O49" s="3">
        <v>94</v>
      </c>
    </row>
    <row r="50" spans="3:15" ht="21" customHeight="1" x14ac:dyDescent="0.2">
      <c r="C50" s="3">
        <v>13</v>
      </c>
      <c r="D50" s="3">
        <v>4</v>
      </c>
      <c r="E50" s="3">
        <v>3</v>
      </c>
      <c r="F50" s="3">
        <v>3</v>
      </c>
      <c r="G50" s="3">
        <v>3</v>
      </c>
      <c r="H50" s="3">
        <v>3</v>
      </c>
      <c r="I50" s="3">
        <v>3</v>
      </c>
      <c r="J50" s="3">
        <v>3</v>
      </c>
      <c r="K50" s="3">
        <v>3</v>
      </c>
      <c r="L50" s="3">
        <v>3</v>
      </c>
      <c r="M50" s="3">
        <v>3</v>
      </c>
      <c r="N50" s="3">
        <v>3</v>
      </c>
      <c r="O50" s="3">
        <v>94</v>
      </c>
    </row>
    <row r="51" spans="3:15" ht="21" customHeight="1" x14ac:dyDescent="0.2">
      <c r="C51" s="3">
        <v>5</v>
      </c>
      <c r="D51" s="3">
        <v>1</v>
      </c>
      <c r="E51" s="3">
        <v>3</v>
      </c>
      <c r="F51" s="3">
        <v>3</v>
      </c>
      <c r="G51" s="3">
        <v>3</v>
      </c>
      <c r="H51" s="3">
        <v>3</v>
      </c>
      <c r="I51" s="3">
        <v>3</v>
      </c>
      <c r="J51" s="3">
        <v>3</v>
      </c>
      <c r="K51" s="3">
        <v>3</v>
      </c>
      <c r="L51" s="3">
        <v>3</v>
      </c>
      <c r="M51" s="3">
        <v>3</v>
      </c>
      <c r="N51" s="3">
        <v>3</v>
      </c>
      <c r="O51" s="3">
        <v>96</v>
      </c>
    </row>
    <row r="52" spans="3:15" ht="21" customHeight="1" x14ac:dyDescent="0.2">
      <c r="C52" s="3">
        <v>5</v>
      </c>
      <c r="D52" s="3">
        <v>2</v>
      </c>
      <c r="E52" s="3">
        <v>3</v>
      </c>
      <c r="F52" s="3">
        <v>3</v>
      </c>
      <c r="G52" s="3">
        <v>3</v>
      </c>
      <c r="H52" s="3">
        <v>3</v>
      </c>
      <c r="I52" s="3">
        <v>3</v>
      </c>
      <c r="J52" s="3">
        <v>3</v>
      </c>
      <c r="K52" s="3">
        <v>3</v>
      </c>
      <c r="L52" s="3">
        <v>3</v>
      </c>
      <c r="M52" s="3">
        <v>3</v>
      </c>
      <c r="N52" s="3">
        <v>3</v>
      </c>
      <c r="O52" s="3">
        <v>96</v>
      </c>
    </row>
    <row r="53" spans="3:15" ht="21" customHeight="1" x14ac:dyDescent="0.2">
      <c r="C53" s="3">
        <v>5</v>
      </c>
      <c r="D53" s="3">
        <v>3</v>
      </c>
      <c r="E53" s="3">
        <v>3</v>
      </c>
      <c r="F53" s="3">
        <v>3</v>
      </c>
      <c r="G53" s="3">
        <v>3</v>
      </c>
      <c r="H53" s="3">
        <v>3</v>
      </c>
      <c r="I53" s="3">
        <v>3</v>
      </c>
      <c r="J53" s="3">
        <v>3</v>
      </c>
      <c r="K53" s="3">
        <v>3</v>
      </c>
      <c r="L53" s="3">
        <v>3</v>
      </c>
      <c r="M53" s="3">
        <v>3</v>
      </c>
      <c r="N53" s="3">
        <v>3</v>
      </c>
      <c r="O53" s="3">
        <v>96</v>
      </c>
    </row>
    <row r="54" spans="3:15" ht="21" customHeight="1" x14ac:dyDescent="0.2">
      <c r="C54" s="3">
        <v>5</v>
      </c>
      <c r="D54" s="3">
        <v>4</v>
      </c>
      <c r="E54" s="3">
        <v>3</v>
      </c>
      <c r="F54" s="3">
        <v>3</v>
      </c>
      <c r="G54" s="3">
        <v>3</v>
      </c>
      <c r="H54" s="3">
        <v>3</v>
      </c>
      <c r="I54" s="3">
        <v>3</v>
      </c>
      <c r="J54" s="3">
        <v>3</v>
      </c>
      <c r="K54" s="3">
        <v>3</v>
      </c>
      <c r="L54" s="3">
        <v>3</v>
      </c>
      <c r="M54" s="3">
        <v>3</v>
      </c>
      <c r="N54" s="3">
        <v>3</v>
      </c>
      <c r="O54" s="3">
        <v>96</v>
      </c>
    </row>
    <row r="55" spans="3:15" ht="21" customHeight="1" x14ac:dyDescent="0.2">
      <c r="C55" s="3">
        <v>1</v>
      </c>
      <c r="D55" s="3">
        <v>1</v>
      </c>
      <c r="E55" s="3">
        <v>3</v>
      </c>
      <c r="F55" s="3">
        <v>2</v>
      </c>
      <c r="G55" s="3">
        <v>3</v>
      </c>
      <c r="H55" s="3">
        <v>3</v>
      </c>
      <c r="I55" s="3">
        <v>3</v>
      </c>
      <c r="J55" s="3">
        <v>3</v>
      </c>
      <c r="K55" s="3">
        <v>3</v>
      </c>
      <c r="L55" s="3">
        <v>3</v>
      </c>
      <c r="M55" s="3">
        <v>3</v>
      </c>
      <c r="N55" s="3">
        <v>2</v>
      </c>
      <c r="O55" s="3">
        <v>84</v>
      </c>
    </row>
    <row r="56" spans="3:15" ht="21" customHeight="1" x14ac:dyDescent="0.2">
      <c r="C56" s="3">
        <v>1</v>
      </c>
      <c r="D56" s="3">
        <v>2</v>
      </c>
      <c r="E56" s="3">
        <v>3</v>
      </c>
      <c r="F56" s="3">
        <v>2</v>
      </c>
      <c r="G56" s="3">
        <v>3</v>
      </c>
      <c r="H56" s="3">
        <v>3</v>
      </c>
      <c r="I56" s="3">
        <v>3</v>
      </c>
      <c r="J56" s="3">
        <v>3</v>
      </c>
      <c r="K56" s="3">
        <v>3</v>
      </c>
      <c r="L56" s="3">
        <v>3</v>
      </c>
      <c r="M56" s="3">
        <v>3</v>
      </c>
      <c r="N56" s="3">
        <v>2</v>
      </c>
      <c r="O56" s="3">
        <v>84</v>
      </c>
    </row>
    <row r="57" spans="3:15" ht="21" customHeight="1" x14ac:dyDescent="0.2">
      <c r="C57" s="3">
        <v>1</v>
      </c>
      <c r="D57" s="3">
        <v>3</v>
      </c>
      <c r="E57" s="3">
        <v>3</v>
      </c>
      <c r="F57" s="3">
        <v>2</v>
      </c>
      <c r="G57" s="3">
        <v>3</v>
      </c>
      <c r="H57" s="3">
        <v>3</v>
      </c>
      <c r="I57" s="3">
        <v>3</v>
      </c>
      <c r="J57" s="3">
        <v>3</v>
      </c>
      <c r="K57" s="3">
        <v>3</v>
      </c>
      <c r="L57" s="3">
        <v>3</v>
      </c>
      <c r="M57" s="3">
        <v>3</v>
      </c>
      <c r="N57" s="3">
        <v>2</v>
      </c>
      <c r="O57" s="3">
        <v>84</v>
      </c>
    </row>
    <row r="58" spans="3:15" ht="21" customHeight="1" x14ac:dyDescent="0.2">
      <c r="C58" s="3">
        <v>1</v>
      </c>
      <c r="D58" s="3">
        <v>4</v>
      </c>
      <c r="E58" s="3">
        <v>3</v>
      </c>
      <c r="F58" s="3">
        <v>2</v>
      </c>
      <c r="G58" s="3">
        <v>3</v>
      </c>
      <c r="H58" s="3">
        <v>3</v>
      </c>
      <c r="I58" s="3">
        <v>3</v>
      </c>
      <c r="J58" s="3">
        <v>3</v>
      </c>
      <c r="K58" s="3">
        <v>3</v>
      </c>
      <c r="L58" s="3">
        <v>3</v>
      </c>
      <c r="M58" s="3">
        <v>3</v>
      </c>
      <c r="N58" s="3">
        <v>2</v>
      </c>
      <c r="O58" s="3">
        <v>84</v>
      </c>
    </row>
    <row r="59" spans="3:15" ht="21" customHeight="1" x14ac:dyDescent="0.2">
      <c r="C59" s="3">
        <v>3</v>
      </c>
      <c r="D59" s="3">
        <v>1</v>
      </c>
      <c r="E59" s="3">
        <v>3</v>
      </c>
      <c r="F59" s="3">
        <v>3</v>
      </c>
      <c r="G59" s="3">
        <v>3</v>
      </c>
      <c r="H59" s="3">
        <v>3</v>
      </c>
      <c r="I59" s="3">
        <v>3</v>
      </c>
      <c r="J59" s="3">
        <v>3</v>
      </c>
      <c r="K59" s="3">
        <v>3</v>
      </c>
      <c r="L59" s="3">
        <v>3</v>
      </c>
      <c r="M59" s="3">
        <v>3</v>
      </c>
      <c r="N59" s="3">
        <v>3</v>
      </c>
      <c r="O59" s="3">
        <v>92</v>
      </c>
    </row>
    <row r="60" spans="3:15" ht="21" customHeight="1" x14ac:dyDescent="0.2">
      <c r="C60" s="3">
        <v>3</v>
      </c>
      <c r="D60" s="3">
        <v>2</v>
      </c>
      <c r="E60" s="3">
        <v>3</v>
      </c>
      <c r="F60" s="3">
        <v>3</v>
      </c>
      <c r="G60" s="3">
        <v>3</v>
      </c>
      <c r="H60" s="3">
        <v>3</v>
      </c>
      <c r="I60" s="3">
        <v>3</v>
      </c>
      <c r="J60" s="3">
        <v>3</v>
      </c>
      <c r="K60" s="3">
        <v>3</v>
      </c>
      <c r="L60" s="3">
        <v>3</v>
      </c>
      <c r="M60" s="3">
        <v>3</v>
      </c>
      <c r="N60" s="3">
        <v>3</v>
      </c>
      <c r="O60" s="3">
        <v>92</v>
      </c>
    </row>
    <row r="61" spans="3:15" ht="21" customHeight="1" x14ac:dyDescent="0.2">
      <c r="C61" s="3">
        <v>3</v>
      </c>
      <c r="D61" s="3">
        <v>3</v>
      </c>
      <c r="E61" s="3">
        <v>3</v>
      </c>
      <c r="F61" s="3">
        <v>3</v>
      </c>
      <c r="G61" s="3">
        <v>3</v>
      </c>
      <c r="H61" s="3">
        <v>3</v>
      </c>
      <c r="I61" s="3">
        <v>3</v>
      </c>
      <c r="J61" s="3">
        <v>3</v>
      </c>
      <c r="K61" s="3">
        <v>3</v>
      </c>
      <c r="L61" s="3">
        <v>3</v>
      </c>
      <c r="M61" s="3">
        <v>3</v>
      </c>
      <c r="N61" s="3">
        <v>3</v>
      </c>
      <c r="O61" s="3">
        <v>92</v>
      </c>
    </row>
    <row r="62" spans="3:15" ht="21" customHeight="1" x14ac:dyDescent="0.2">
      <c r="C62" s="3">
        <v>3</v>
      </c>
      <c r="D62" s="3">
        <v>4</v>
      </c>
      <c r="E62" s="3">
        <v>3</v>
      </c>
      <c r="F62" s="3">
        <v>3</v>
      </c>
      <c r="G62" s="3">
        <v>3</v>
      </c>
      <c r="H62" s="3">
        <v>3</v>
      </c>
      <c r="I62" s="3">
        <v>3</v>
      </c>
      <c r="J62" s="3">
        <v>3</v>
      </c>
      <c r="K62" s="3">
        <v>3</v>
      </c>
      <c r="L62" s="3">
        <v>3</v>
      </c>
      <c r="M62" s="3">
        <v>3</v>
      </c>
      <c r="N62" s="3">
        <v>3</v>
      </c>
      <c r="O62" s="3">
        <v>92</v>
      </c>
    </row>
    <row r="63" spans="3:15" ht="21" customHeight="1" x14ac:dyDescent="0.2"/>
    <row r="64" spans="3:15" ht="21" customHeight="1" x14ac:dyDescent="0.2"/>
    <row r="65" spans="3:14" ht="21" customHeight="1" x14ac:dyDescent="0.2">
      <c r="C65" s="19" t="s">
        <v>61</v>
      </c>
      <c r="E65" s="22" t="s">
        <v>13</v>
      </c>
      <c r="F65" s="22" t="s">
        <v>14</v>
      </c>
      <c r="G65" s="22" t="s">
        <v>15</v>
      </c>
      <c r="H65" s="22" t="s">
        <v>37</v>
      </c>
      <c r="I65" s="22" t="s">
        <v>38</v>
      </c>
      <c r="J65" s="22" t="s">
        <v>24</v>
      </c>
      <c r="K65" s="22" t="s">
        <v>25</v>
      </c>
      <c r="L65" s="22" t="s">
        <v>26</v>
      </c>
      <c r="M65" s="22" t="s">
        <v>27</v>
      </c>
      <c r="N65" s="22" t="s">
        <v>39</v>
      </c>
    </row>
    <row r="66" spans="3:14" ht="21" customHeight="1" x14ac:dyDescent="0.2">
      <c r="C66" s="19" t="s">
        <v>62</v>
      </c>
      <c r="E66" s="23">
        <v>3</v>
      </c>
      <c r="F66" s="23">
        <v>3</v>
      </c>
      <c r="G66" s="23">
        <v>3</v>
      </c>
      <c r="H66" s="23">
        <v>3</v>
      </c>
      <c r="I66" s="23">
        <v>3</v>
      </c>
      <c r="J66" s="23">
        <v>3</v>
      </c>
      <c r="K66" s="23">
        <v>3</v>
      </c>
      <c r="L66" s="23">
        <v>3</v>
      </c>
      <c r="M66" s="23">
        <v>3</v>
      </c>
      <c r="N66" s="23">
        <v>3</v>
      </c>
    </row>
    <row r="67" spans="3:14" ht="21" customHeight="1" x14ac:dyDescent="0.2">
      <c r="C67" s="19" t="s">
        <v>63</v>
      </c>
      <c r="E67" s="20">
        <f>AVERAGE(Table8[Delivery_Organization])</f>
        <v>3</v>
      </c>
      <c r="F67" s="20">
        <f>AVERAGE(Table8[Delivery_Language/Enthusiasm/Eye contact])</f>
        <v>2.8688524590163933</v>
      </c>
      <c r="G67" s="20">
        <f>AVERAGE(Table8[Delivery_Time/Equal distribution of work])</f>
        <v>2.721311475409836</v>
      </c>
      <c r="H67" s="20">
        <f>AVERAGE(Table8[Style_Clear graphs/figures/referencing])</f>
        <v>3</v>
      </c>
      <c r="I67" s="20">
        <f>AVERAGE(Table8[Style_Readable Text/relevant sig figures/consistent units])</f>
        <v>3</v>
      </c>
      <c r="J67" s="20">
        <f>AVERAGE(Table8[Introduction])</f>
        <v>2.8360655737704916</v>
      </c>
      <c r="K67" s="20">
        <f>AVERAGE(Table8[Market Analysis])</f>
        <v>2.901639344262295</v>
      </c>
      <c r="L67" s="20">
        <f>AVERAGE(Table8[Process Description])</f>
        <v>2.8032786885245899</v>
      </c>
      <c r="M67" s="20">
        <f>AVERAGE(Table8[Competing Processes])</f>
        <v>2.8688524590163933</v>
      </c>
      <c r="N67" s="20">
        <f>AVERAGE(Table8[BFD/PFD/Rough Material Balance])</f>
        <v>2.557377049180328</v>
      </c>
    </row>
    <row r="68" spans="3:14" ht="21" customHeight="1" x14ac:dyDescent="0.2">
      <c r="C68" s="19" t="s">
        <v>64</v>
      </c>
      <c r="E68" s="23">
        <f>STDEV(Table8[Delivery_Organization])</f>
        <v>0</v>
      </c>
      <c r="F68" s="23">
        <f>STDEV(Table8[Delivery_Language/Enthusiasm/Eye contact])</f>
        <v>0.340363033444467</v>
      </c>
      <c r="G68" s="23">
        <f>STDEV(Table8[Delivery_Time/Equal distribution of work])</f>
        <v>0.58112384053038757</v>
      </c>
      <c r="H68" s="23">
        <f>STDEV(Table8[Style_Clear graphs/figures/referencing])</f>
        <v>0</v>
      </c>
      <c r="I68" s="23">
        <f>STDEV(Table8[Style_Readable Text/relevant sig figures/consistent units])</f>
        <v>0</v>
      </c>
      <c r="J68" s="23">
        <f>STDEV(Table8[Introduction])</f>
        <v>0.55318254578551973</v>
      </c>
      <c r="K68" s="23">
        <f>STDEV(Table8[Market Analysis])</f>
        <v>0.43607789949300368</v>
      </c>
      <c r="L68" s="23">
        <f>STDEV(Table8[Process Description])</f>
        <v>0.54220759035470112</v>
      </c>
      <c r="M68" s="23">
        <f>STDEV(Table8[Competing Processes])</f>
        <v>0.340363033444467</v>
      </c>
      <c r="N68" s="23">
        <f>STDEV(Table8[BFD/PFD/Rough Material Balance])</f>
        <v>0.71936523324234547</v>
      </c>
    </row>
    <row r="69" spans="3:14" ht="21" customHeight="1" x14ac:dyDescent="0.2">
      <c r="C69" s="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 spans="3:14" ht="21" customHeight="1" x14ac:dyDescent="0.2">
      <c r="C70" s="24" t="s">
        <v>70</v>
      </c>
      <c r="E70" s="24">
        <f>AVERAGE(E67:N67)</f>
        <v>2.8557377049180328</v>
      </c>
    </row>
    <row r="71" spans="3:14" ht="21" customHeight="1" x14ac:dyDescent="0.2">
      <c r="C71" s="25"/>
      <c r="E71" s="2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1790-CD5C-4B2D-BC77-2714D6B8D340}">
  <dimension ref="C1:E64"/>
  <sheetViews>
    <sheetView workbookViewId="0">
      <selection activeCell="K5" sqref="K5"/>
    </sheetView>
  </sheetViews>
  <sheetFormatPr baseColWidth="10" defaultColWidth="8.83203125" defaultRowHeight="15" x14ac:dyDescent="0.2"/>
  <cols>
    <col min="3" max="3" width="17.33203125" customWidth="1"/>
    <col min="4" max="4" width="18.5" customWidth="1"/>
  </cols>
  <sheetData>
    <row r="1" spans="3:5" x14ac:dyDescent="0.2">
      <c r="C1" s="1" t="s">
        <v>0</v>
      </c>
      <c r="D1" s="1" t="s">
        <v>1</v>
      </c>
      <c r="E1" t="s">
        <v>40</v>
      </c>
    </row>
    <row r="2" spans="3:5" x14ac:dyDescent="0.2">
      <c r="C2">
        <v>15</v>
      </c>
      <c r="D2">
        <v>1</v>
      </c>
      <c r="E2">
        <v>95</v>
      </c>
    </row>
    <row r="3" spans="3:5" x14ac:dyDescent="0.2">
      <c r="C3">
        <v>15</v>
      </c>
      <c r="D3">
        <v>2</v>
      </c>
      <c r="E3">
        <v>95</v>
      </c>
    </row>
    <row r="4" spans="3:5" x14ac:dyDescent="0.2">
      <c r="C4">
        <v>15</v>
      </c>
      <c r="D4">
        <v>3</v>
      </c>
      <c r="E4">
        <v>95</v>
      </c>
    </row>
    <row r="5" spans="3:5" x14ac:dyDescent="0.2">
      <c r="C5">
        <v>17</v>
      </c>
      <c r="D5">
        <v>1</v>
      </c>
      <c r="E5">
        <v>90</v>
      </c>
    </row>
    <row r="6" spans="3:5" x14ac:dyDescent="0.2">
      <c r="C6">
        <v>17</v>
      </c>
      <c r="D6">
        <v>2</v>
      </c>
      <c r="E6">
        <v>90</v>
      </c>
    </row>
    <row r="7" spans="3:5" x14ac:dyDescent="0.2">
      <c r="C7">
        <v>17</v>
      </c>
      <c r="D7">
        <v>3</v>
      </c>
      <c r="E7">
        <v>90</v>
      </c>
    </row>
    <row r="8" spans="3:5" x14ac:dyDescent="0.2">
      <c r="C8">
        <v>17</v>
      </c>
      <c r="D8">
        <v>4</v>
      </c>
      <c r="E8">
        <v>90</v>
      </c>
    </row>
    <row r="9" spans="3:5" x14ac:dyDescent="0.2">
      <c r="C9">
        <v>17</v>
      </c>
      <c r="D9">
        <v>5</v>
      </c>
      <c r="E9">
        <v>90</v>
      </c>
    </row>
    <row r="10" spans="3:5" x14ac:dyDescent="0.2">
      <c r="C10">
        <v>4</v>
      </c>
      <c r="D10">
        <v>1</v>
      </c>
      <c r="E10">
        <v>100</v>
      </c>
    </row>
    <row r="11" spans="3:5" x14ac:dyDescent="0.2">
      <c r="C11">
        <v>4</v>
      </c>
      <c r="D11">
        <v>2</v>
      </c>
      <c r="E11">
        <v>100</v>
      </c>
    </row>
    <row r="12" spans="3:5" x14ac:dyDescent="0.2">
      <c r="C12">
        <v>4</v>
      </c>
      <c r="D12">
        <v>3</v>
      </c>
      <c r="E12">
        <v>100</v>
      </c>
    </row>
    <row r="13" spans="3:5" x14ac:dyDescent="0.2">
      <c r="C13">
        <v>4</v>
      </c>
      <c r="D13">
        <v>4</v>
      </c>
      <c r="E13">
        <v>100</v>
      </c>
    </row>
    <row r="14" spans="3:5" x14ac:dyDescent="0.2">
      <c r="C14">
        <v>14</v>
      </c>
      <c r="D14">
        <v>1</v>
      </c>
      <c r="E14">
        <v>100</v>
      </c>
    </row>
    <row r="15" spans="3:5" x14ac:dyDescent="0.2">
      <c r="C15">
        <v>14</v>
      </c>
      <c r="D15">
        <v>2</v>
      </c>
      <c r="E15">
        <v>100</v>
      </c>
    </row>
    <row r="16" spans="3:5" x14ac:dyDescent="0.2">
      <c r="C16">
        <v>14</v>
      </c>
      <c r="D16">
        <v>3</v>
      </c>
      <c r="E16">
        <v>100</v>
      </c>
    </row>
    <row r="17" spans="3:5" x14ac:dyDescent="0.2">
      <c r="C17">
        <v>5</v>
      </c>
      <c r="D17">
        <v>1</v>
      </c>
      <c r="E17">
        <v>95</v>
      </c>
    </row>
    <row r="18" spans="3:5" x14ac:dyDescent="0.2">
      <c r="C18">
        <v>5</v>
      </c>
      <c r="D18">
        <v>2</v>
      </c>
      <c r="E18">
        <v>95</v>
      </c>
    </row>
    <row r="19" spans="3:5" x14ac:dyDescent="0.2">
      <c r="C19">
        <v>5</v>
      </c>
      <c r="D19">
        <v>3</v>
      </c>
      <c r="E19">
        <v>95</v>
      </c>
    </row>
    <row r="20" spans="3:5" x14ac:dyDescent="0.2">
      <c r="C20">
        <v>5</v>
      </c>
      <c r="D20">
        <v>4</v>
      </c>
      <c r="E20">
        <v>95</v>
      </c>
    </row>
    <row r="21" spans="3:5" x14ac:dyDescent="0.2">
      <c r="C21">
        <v>2</v>
      </c>
      <c r="D21">
        <v>1</v>
      </c>
      <c r="E21">
        <v>95</v>
      </c>
    </row>
    <row r="22" spans="3:5" x14ac:dyDescent="0.2">
      <c r="C22">
        <v>2</v>
      </c>
      <c r="D22">
        <v>2</v>
      </c>
      <c r="E22">
        <v>95</v>
      </c>
    </row>
    <row r="23" spans="3:5" x14ac:dyDescent="0.2">
      <c r="C23">
        <v>2</v>
      </c>
      <c r="D23">
        <v>3</v>
      </c>
      <c r="E23">
        <v>95</v>
      </c>
    </row>
    <row r="24" spans="3:5" x14ac:dyDescent="0.2">
      <c r="C24">
        <v>2</v>
      </c>
      <c r="D24">
        <v>4</v>
      </c>
      <c r="E24">
        <v>95</v>
      </c>
    </row>
    <row r="25" spans="3:5" x14ac:dyDescent="0.2">
      <c r="C25">
        <v>9</v>
      </c>
      <c r="D25">
        <v>1</v>
      </c>
      <c r="E25">
        <v>95</v>
      </c>
    </row>
    <row r="26" spans="3:5" x14ac:dyDescent="0.2">
      <c r="C26">
        <v>9</v>
      </c>
      <c r="D26">
        <v>2</v>
      </c>
      <c r="E26">
        <v>95</v>
      </c>
    </row>
    <row r="27" spans="3:5" x14ac:dyDescent="0.2">
      <c r="C27">
        <v>9</v>
      </c>
      <c r="D27">
        <v>3</v>
      </c>
      <c r="E27">
        <v>95</v>
      </c>
    </row>
    <row r="28" spans="3:5" x14ac:dyDescent="0.2">
      <c r="C28">
        <v>9</v>
      </c>
      <c r="D28">
        <v>4</v>
      </c>
      <c r="E28">
        <v>95</v>
      </c>
    </row>
    <row r="29" spans="3:5" x14ac:dyDescent="0.2">
      <c r="C29">
        <v>8</v>
      </c>
      <c r="D29">
        <v>1</v>
      </c>
      <c r="E29">
        <v>100</v>
      </c>
    </row>
    <row r="30" spans="3:5" x14ac:dyDescent="0.2">
      <c r="C30">
        <v>3</v>
      </c>
      <c r="D30">
        <v>1</v>
      </c>
      <c r="E30">
        <v>100</v>
      </c>
    </row>
    <row r="31" spans="3:5" x14ac:dyDescent="0.2">
      <c r="C31">
        <v>3</v>
      </c>
      <c r="D31">
        <v>2</v>
      </c>
      <c r="E31">
        <v>100</v>
      </c>
    </row>
    <row r="32" spans="3:5" x14ac:dyDescent="0.2">
      <c r="C32">
        <v>3</v>
      </c>
      <c r="D32">
        <v>3</v>
      </c>
      <c r="E32">
        <v>100</v>
      </c>
    </row>
    <row r="33" spans="3:5" x14ac:dyDescent="0.2">
      <c r="C33">
        <v>3</v>
      </c>
      <c r="D33">
        <v>4</v>
      </c>
      <c r="E33">
        <v>100</v>
      </c>
    </row>
    <row r="34" spans="3:5" x14ac:dyDescent="0.2">
      <c r="C34">
        <v>12</v>
      </c>
      <c r="D34">
        <v>1</v>
      </c>
      <c r="E34">
        <v>100</v>
      </c>
    </row>
    <row r="35" spans="3:5" x14ac:dyDescent="0.2">
      <c r="C35">
        <v>12</v>
      </c>
      <c r="D35">
        <v>2</v>
      </c>
      <c r="E35">
        <v>100</v>
      </c>
    </row>
    <row r="36" spans="3:5" x14ac:dyDescent="0.2">
      <c r="C36">
        <v>12</v>
      </c>
      <c r="D36">
        <v>3</v>
      </c>
      <c r="E36">
        <v>100</v>
      </c>
    </row>
    <row r="37" spans="3:5" x14ac:dyDescent="0.2">
      <c r="C37">
        <v>12</v>
      </c>
      <c r="D37">
        <v>4</v>
      </c>
      <c r="E37">
        <v>100</v>
      </c>
    </row>
    <row r="38" spans="3:5" x14ac:dyDescent="0.2">
      <c r="C38">
        <v>7</v>
      </c>
      <c r="D38">
        <v>1</v>
      </c>
      <c r="E38">
        <v>95</v>
      </c>
    </row>
    <row r="39" spans="3:5" x14ac:dyDescent="0.2">
      <c r="C39">
        <v>7</v>
      </c>
      <c r="D39">
        <v>2</v>
      </c>
      <c r="E39">
        <v>95</v>
      </c>
    </row>
    <row r="40" spans="3:5" x14ac:dyDescent="0.2">
      <c r="C40">
        <v>7</v>
      </c>
      <c r="D40">
        <v>3</v>
      </c>
      <c r="E40">
        <v>95</v>
      </c>
    </row>
    <row r="41" spans="3:5" x14ac:dyDescent="0.2">
      <c r="C41">
        <v>7</v>
      </c>
      <c r="D41">
        <v>4</v>
      </c>
      <c r="E41">
        <v>95</v>
      </c>
    </row>
    <row r="42" spans="3:5" x14ac:dyDescent="0.2">
      <c r="C42">
        <v>13</v>
      </c>
      <c r="D42">
        <v>1</v>
      </c>
      <c r="E42" s="1">
        <v>95</v>
      </c>
    </row>
    <row r="43" spans="3:5" x14ac:dyDescent="0.2">
      <c r="C43">
        <v>13</v>
      </c>
      <c r="D43">
        <v>2</v>
      </c>
      <c r="E43" s="1">
        <v>95</v>
      </c>
    </row>
    <row r="44" spans="3:5" x14ac:dyDescent="0.2">
      <c r="C44">
        <v>13</v>
      </c>
      <c r="D44">
        <v>3</v>
      </c>
      <c r="E44" s="1">
        <v>95</v>
      </c>
    </row>
    <row r="45" spans="3:5" x14ac:dyDescent="0.2">
      <c r="C45">
        <v>13</v>
      </c>
      <c r="D45">
        <v>4</v>
      </c>
      <c r="E45" s="1">
        <v>95</v>
      </c>
    </row>
    <row r="46" spans="3:5" x14ac:dyDescent="0.2">
      <c r="C46">
        <v>13</v>
      </c>
      <c r="D46">
        <v>5</v>
      </c>
      <c r="E46" s="1">
        <v>95</v>
      </c>
    </row>
    <row r="47" spans="3:5" x14ac:dyDescent="0.2">
      <c r="C47">
        <v>11</v>
      </c>
      <c r="D47">
        <v>1</v>
      </c>
      <c r="E47" s="1">
        <v>95</v>
      </c>
    </row>
    <row r="48" spans="3:5" x14ac:dyDescent="0.2">
      <c r="C48">
        <v>11</v>
      </c>
      <c r="D48">
        <v>2</v>
      </c>
      <c r="E48" s="1">
        <v>95</v>
      </c>
    </row>
    <row r="49" spans="3:5" x14ac:dyDescent="0.2">
      <c r="C49">
        <v>11</v>
      </c>
      <c r="D49">
        <v>3</v>
      </c>
      <c r="E49" s="1">
        <v>95</v>
      </c>
    </row>
    <row r="50" spans="3:5" x14ac:dyDescent="0.2">
      <c r="C50">
        <v>16</v>
      </c>
      <c r="D50">
        <v>1</v>
      </c>
      <c r="E50">
        <v>100</v>
      </c>
    </row>
    <row r="51" spans="3:5" x14ac:dyDescent="0.2">
      <c r="C51">
        <v>16</v>
      </c>
      <c r="D51">
        <v>2</v>
      </c>
      <c r="E51" s="1">
        <v>100</v>
      </c>
    </row>
    <row r="52" spans="3:5" x14ac:dyDescent="0.2">
      <c r="C52">
        <v>16</v>
      </c>
      <c r="D52">
        <v>3</v>
      </c>
      <c r="E52" s="1">
        <v>100</v>
      </c>
    </row>
    <row r="53" spans="3:5" x14ac:dyDescent="0.2">
      <c r="C53">
        <v>16</v>
      </c>
      <c r="D53">
        <v>4</v>
      </c>
      <c r="E53" s="1">
        <v>100</v>
      </c>
    </row>
    <row r="54" spans="3:5" x14ac:dyDescent="0.2">
      <c r="C54">
        <v>10</v>
      </c>
      <c r="D54">
        <v>1</v>
      </c>
      <c r="E54" s="1">
        <v>100</v>
      </c>
    </row>
    <row r="55" spans="3:5" x14ac:dyDescent="0.2">
      <c r="C55">
        <v>10</v>
      </c>
      <c r="D55">
        <v>2</v>
      </c>
      <c r="E55" s="1">
        <v>100</v>
      </c>
    </row>
    <row r="56" spans="3:5" x14ac:dyDescent="0.2">
      <c r="C56">
        <v>10</v>
      </c>
      <c r="D56">
        <v>3</v>
      </c>
      <c r="E56" s="1">
        <v>100</v>
      </c>
    </row>
    <row r="57" spans="3:5" x14ac:dyDescent="0.2">
      <c r="C57">
        <v>10</v>
      </c>
      <c r="D57">
        <v>4</v>
      </c>
      <c r="E57" s="1">
        <v>100</v>
      </c>
    </row>
    <row r="58" spans="3:5" x14ac:dyDescent="0.2">
      <c r="C58">
        <v>1</v>
      </c>
      <c r="D58">
        <v>1</v>
      </c>
      <c r="E58" s="1">
        <v>100</v>
      </c>
    </row>
    <row r="59" spans="3:5" x14ac:dyDescent="0.2">
      <c r="C59">
        <v>1</v>
      </c>
      <c r="D59">
        <v>2</v>
      </c>
      <c r="E59" s="1">
        <v>100</v>
      </c>
    </row>
    <row r="60" spans="3:5" x14ac:dyDescent="0.2">
      <c r="C60">
        <v>1</v>
      </c>
      <c r="D60">
        <v>3</v>
      </c>
      <c r="E60" s="1">
        <v>100</v>
      </c>
    </row>
    <row r="61" spans="3:5" x14ac:dyDescent="0.2">
      <c r="C61">
        <v>1</v>
      </c>
      <c r="D61">
        <v>4</v>
      </c>
      <c r="E61" s="1">
        <v>100</v>
      </c>
    </row>
    <row r="62" spans="3:5" x14ac:dyDescent="0.2">
      <c r="C62">
        <v>6</v>
      </c>
      <c r="D62">
        <v>1</v>
      </c>
      <c r="E62">
        <v>95</v>
      </c>
    </row>
    <row r="63" spans="3:5" x14ac:dyDescent="0.2">
      <c r="C63">
        <v>6</v>
      </c>
      <c r="D63">
        <v>2</v>
      </c>
      <c r="E63">
        <v>95</v>
      </c>
    </row>
    <row r="64" spans="3:5" x14ac:dyDescent="0.2">
      <c r="C64">
        <v>6</v>
      </c>
      <c r="D64">
        <v>3</v>
      </c>
      <c r="E64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4196-15DD-494E-AB4A-A7BD335E68B9}">
  <dimension ref="C1:K76"/>
  <sheetViews>
    <sheetView topLeftCell="A52" workbookViewId="0">
      <selection activeCell="C75" sqref="C75"/>
    </sheetView>
  </sheetViews>
  <sheetFormatPr baseColWidth="10" defaultColWidth="8.83203125" defaultRowHeight="15" x14ac:dyDescent="0.2"/>
  <cols>
    <col min="3" max="11" width="8.1640625" customWidth="1"/>
  </cols>
  <sheetData>
    <row r="1" spans="3:11" x14ac:dyDescent="0.2">
      <c r="C1" s="1" t="s">
        <v>0</v>
      </c>
      <c r="D1" s="1" t="s">
        <v>1</v>
      </c>
      <c r="E1" s="1" t="s">
        <v>41</v>
      </c>
      <c r="F1" t="s">
        <v>21</v>
      </c>
      <c r="G1" t="s">
        <v>22</v>
      </c>
      <c r="H1" t="s">
        <v>23</v>
      </c>
      <c r="I1" t="s">
        <v>42</v>
      </c>
      <c r="J1" s="2" t="s">
        <v>43</v>
      </c>
      <c r="K1" t="s">
        <v>12</v>
      </c>
    </row>
    <row r="2" spans="3:11" x14ac:dyDescent="0.2">
      <c r="C2">
        <v>2</v>
      </c>
      <c r="D2">
        <v>1</v>
      </c>
      <c r="E2">
        <v>3</v>
      </c>
      <c r="F2" s="1">
        <v>3</v>
      </c>
      <c r="G2" s="1">
        <v>3</v>
      </c>
      <c r="H2" s="1">
        <v>3</v>
      </c>
      <c r="I2">
        <v>3</v>
      </c>
      <c r="J2">
        <v>3</v>
      </c>
      <c r="K2">
        <v>92</v>
      </c>
    </row>
    <row r="3" spans="3:11" x14ac:dyDescent="0.2">
      <c r="C3">
        <v>2</v>
      </c>
      <c r="D3">
        <v>2</v>
      </c>
      <c r="E3" s="1">
        <v>3</v>
      </c>
      <c r="F3" s="1">
        <v>3</v>
      </c>
      <c r="G3" s="1">
        <v>3</v>
      </c>
      <c r="H3" s="1">
        <v>3</v>
      </c>
      <c r="I3" s="1">
        <v>3</v>
      </c>
      <c r="J3" s="1">
        <v>3</v>
      </c>
      <c r="K3" s="1">
        <v>92</v>
      </c>
    </row>
    <row r="4" spans="3:11" x14ac:dyDescent="0.2">
      <c r="C4">
        <v>2</v>
      </c>
      <c r="D4">
        <v>3</v>
      </c>
      <c r="E4" s="1">
        <v>3</v>
      </c>
      <c r="F4" s="1">
        <v>3</v>
      </c>
      <c r="G4" s="1">
        <v>3</v>
      </c>
      <c r="H4" s="1">
        <v>3</v>
      </c>
      <c r="I4" s="1">
        <v>3</v>
      </c>
      <c r="J4" s="1">
        <v>3</v>
      </c>
      <c r="K4" s="1">
        <v>92</v>
      </c>
    </row>
    <row r="5" spans="3:11" x14ac:dyDescent="0.2">
      <c r="C5">
        <v>2</v>
      </c>
      <c r="D5">
        <v>4</v>
      </c>
      <c r="E5" s="1">
        <v>3</v>
      </c>
      <c r="F5" s="1">
        <v>3</v>
      </c>
      <c r="G5" s="1">
        <v>3</v>
      </c>
      <c r="H5" s="1">
        <v>3</v>
      </c>
      <c r="I5" s="1">
        <v>3</v>
      </c>
      <c r="J5" s="1">
        <v>3</v>
      </c>
      <c r="K5" s="1">
        <v>92</v>
      </c>
    </row>
    <row r="6" spans="3:11" x14ac:dyDescent="0.2">
      <c r="C6">
        <v>1</v>
      </c>
      <c r="D6">
        <v>1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>
        <v>95</v>
      </c>
    </row>
    <row r="7" spans="3:11" x14ac:dyDescent="0.2">
      <c r="C7">
        <v>1</v>
      </c>
      <c r="D7">
        <v>2</v>
      </c>
      <c r="E7" s="1">
        <v>3</v>
      </c>
      <c r="F7" s="1">
        <v>3</v>
      </c>
      <c r="G7" s="1">
        <v>3</v>
      </c>
      <c r="H7" s="1">
        <v>3</v>
      </c>
      <c r="I7" s="1">
        <v>3</v>
      </c>
      <c r="J7" s="1">
        <v>3</v>
      </c>
      <c r="K7" s="1">
        <v>95</v>
      </c>
    </row>
    <row r="8" spans="3:11" x14ac:dyDescent="0.2">
      <c r="C8">
        <v>1</v>
      </c>
      <c r="D8">
        <v>3</v>
      </c>
      <c r="E8" s="1">
        <v>3</v>
      </c>
      <c r="F8" s="1">
        <v>3</v>
      </c>
      <c r="G8" s="1">
        <v>3</v>
      </c>
      <c r="H8" s="1">
        <v>3</v>
      </c>
      <c r="I8" s="1">
        <v>3</v>
      </c>
      <c r="J8" s="1">
        <v>3</v>
      </c>
      <c r="K8" s="1">
        <v>95</v>
      </c>
    </row>
    <row r="9" spans="3:11" x14ac:dyDescent="0.2">
      <c r="C9">
        <v>1</v>
      </c>
      <c r="D9">
        <v>4</v>
      </c>
      <c r="E9" s="1">
        <v>3</v>
      </c>
      <c r="F9" s="1">
        <v>3</v>
      </c>
      <c r="G9" s="1">
        <v>3</v>
      </c>
      <c r="H9" s="1">
        <v>3</v>
      </c>
      <c r="I9" s="1">
        <v>3</v>
      </c>
      <c r="J9" s="1">
        <v>3</v>
      </c>
      <c r="K9" s="1">
        <v>95</v>
      </c>
    </row>
    <row r="10" spans="3:11" x14ac:dyDescent="0.2">
      <c r="C10">
        <v>15</v>
      </c>
      <c r="D10">
        <v>1</v>
      </c>
      <c r="E10" s="1">
        <v>3</v>
      </c>
      <c r="F10" s="1">
        <v>3</v>
      </c>
      <c r="G10" s="1">
        <v>3</v>
      </c>
      <c r="H10" s="1">
        <v>3</v>
      </c>
      <c r="I10" s="1">
        <v>3</v>
      </c>
      <c r="J10">
        <v>2</v>
      </c>
      <c r="K10">
        <v>84</v>
      </c>
    </row>
    <row r="11" spans="3:11" x14ac:dyDescent="0.2">
      <c r="C11">
        <v>15</v>
      </c>
      <c r="D11">
        <v>2</v>
      </c>
      <c r="E11" s="1">
        <v>3</v>
      </c>
      <c r="F11" s="1">
        <v>3</v>
      </c>
      <c r="G11" s="1">
        <v>3</v>
      </c>
      <c r="H11" s="1">
        <v>3</v>
      </c>
      <c r="I11" s="1">
        <v>3</v>
      </c>
      <c r="J11" s="1">
        <v>2</v>
      </c>
      <c r="K11" s="1">
        <v>84</v>
      </c>
    </row>
    <row r="12" spans="3:11" x14ac:dyDescent="0.2">
      <c r="C12">
        <v>15</v>
      </c>
      <c r="D12">
        <v>3</v>
      </c>
      <c r="E12" s="1">
        <v>3</v>
      </c>
      <c r="F12" s="1">
        <v>3</v>
      </c>
      <c r="G12" s="1">
        <v>3</v>
      </c>
      <c r="H12" s="1">
        <v>3</v>
      </c>
      <c r="I12" s="1">
        <v>3</v>
      </c>
      <c r="J12" s="1">
        <v>2</v>
      </c>
      <c r="K12" s="1">
        <v>84</v>
      </c>
    </row>
    <row r="13" spans="3:11" x14ac:dyDescent="0.2">
      <c r="C13">
        <v>6</v>
      </c>
      <c r="D13">
        <v>1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  <c r="J13">
        <v>3</v>
      </c>
      <c r="K13">
        <v>92</v>
      </c>
    </row>
    <row r="14" spans="3:11" x14ac:dyDescent="0.2">
      <c r="C14">
        <v>6</v>
      </c>
      <c r="D14">
        <v>2</v>
      </c>
      <c r="E14" s="1">
        <v>3</v>
      </c>
      <c r="F14" s="1">
        <v>3</v>
      </c>
      <c r="G14" s="1">
        <v>3</v>
      </c>
      <c r="H14" s="1">
        <v>3</v>
      </c>
      <c r="I14" s="1">
        <v>3</v>
      </c>
      <c r="J14" s="1">
        <v>3</v>
      </c>
      <c r="K14" s="1">
        <v>92</v>
      </c>
    </row>
    <row r="15" spans="3:11" x14ac:dyDescent="0.2">
      <c r="C15">
        <v>6</v>
      </c>
      <c r="D15">
        <v>3</v>
      </c>
      <c r="E15" s="1">
        <v>3</v>
      </c>
      <c r="F15" s="1">
        <v>3</v>
      </c>
      <c r="G15" s="1">
        <v>3</v>
      </c>
      <c r="H15" s="1">
        <v>3</v>
      </c>
      <c r="I15" s="1">
        <v>3</v>
      </c>
      <c r="J15" s="1">
        <v>3</v>
      </c>
      <c r="K15" s="1">
        <v>92</v>
      </c>
    </row>
    <row r="16" spans="3:11" x14ac:dyDescent="0.2">
      <c r="C16">
        <v>7</v>
      </c>
      <c r="D16">
        <v>1</v>
      </c>
      <c r="E16" s="1">
        <v>3</v>
      </c>
      <c r="F16" s="1">
        <v>3</v>
      </c>
      <c r="G16" s="1">
        <v>3</v>
      </c>
      <c r="H16" s="1">
        <v>3</v>
      </c>
      <c r="I16" s="1">
        <v>3</v>
      </c>
      <c r="J16" s="1">
        <v>3</v>
      </c>
      <c r="K16">
        <v>92</v>
      </c>
    </row>
    <row r="17" spans="3:11" x14ac:dyDescent="0.2">
      <c r="C17">
        <v>7</v>
      </c>
      <c r="D17">
        <v>2</v>
      </c>
      <c r="E17" s="1">
        <v>3</v>
      </c>
      <c r="F17" s="1">
        <v>3</v>
      </c>
      <c r="G17" s="1">
        <v>3</v>
      </c>
      <c r="H17" s="1">
        <v>3</v>
      </c>
      <c r="I17" s="1">
        <v>3</v>
      </c>
      <c r="J17" s="1">
        <v>3</v>
      </c>
      <c r="K17" s="1">
        <v>92</v>
      </c>
    </row>
    <row r="18" spans="3:11" x14ac:dyDescent="0.2">
      <c r="C18">
        <v>7</v>
      </c>
      <c r="D18">
        <v>3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  <c r="J18" s="1">
        <v>3</v>
      </c>
      <c r="K18" s="1">
        <v>92</v>
      </c>
    </row>
    <row r="19" spans="3:11" x14ac:dyDescent="0.2">
      <c r="C19">
        <v>7</v>
      </c>
      <c r="D19">
        <v>4</v>
      </c>
      <c r="E19" s="1">
        <v>3</v>
      </c>
      <c r="F19" s="1">
        <v>3</v>
      </c>
      <c r="G19" s="1">
        <v>3</v>
      </c>
      <c r="H19" s="1">
        <v>3</v>
      </c>
      <c r="I19" s="1">
        <v>3</v>
      </c>
      <c r="J19" s="1">
        <v>3</v>
      </c>
      <c r="K19" s="1">
        <v>92</v>
      </c>
    </row>
    <row r="20" spans="3:11" x14ac:dyDescent="0.2">
      <c r="C20">
        <v>14</v>
      </c>
      <c r="D20">
        <v>1</v>
      </c>
      <c r="E20" s="1">
        <v>3</v>
      </c>
      <c r="F20" s="1">
        <v>3</v>
      </c>
      <c r="G20" s="1">
        <v>3</v>
      </c>
      <c r="H20" s="1">
        <v>3</v>
      </c>
      <c r="I20">
        <v>2</v>
      </c>
      <c r="J20" s="1">
        <v>3</v>
      </c>
      <c r="K20">
        <v>86</v>
      </c>
    </row>
    <row r="21" spans="3:11" x14ac:dyDescent="0.2">
      <c r="C21">
        <v>14</v>
      </c>
      <c r="D21">
        <v>2</v>
      </c>
      <c r="E21" s="1">
        <v>3</v>
      </c>
      <c r="F21" s="1">
        <v>3</v>
      </c>
      <c r="G21" s="1">
        <v>3</v>
      </c>
      <c r="H21" s="1">
        <v>3</v>
      </c>
      <c r="I21" s="1">
        <v>2</v>
      </c>
      <c r="J21" s="1">
        <v>3</v>
      </c>
      <c r="K21" s="1">
        <v>86</v>
      </c>
    </row>
    <row r="22" spans="3:11" x14ac:dyDescent="0.2">
      <c r="C22">
        <v>14</v>
      </c>
      <c r="D22">
        <v>3</v>
      </c>
      <c r="E22" s="1">
        <v>3</v>
      </c>
      <c r="F22" s="1">
        <v>3</v>
      </c>
      <c r="G22" s="1">
        <v>3</v>
      </c>
      <c r="H22" s="1">
        <v>3</v>
      </c>
      <c r="I22" s="1">
        <v>2</v>
      </c>
      <c r="J22" s="1">
        <v>3</v>
      </c>
      <c r="K22" s="1">
        <v>86</v>
      </c>
    </row>
    <row r="23" spans="3:11" x14ac:dyDescent="0.2">
      <c r="C23">
        <v>3</v>
      </c>
      <c r="D23">
        <v>1</v>
      </c>
      <c r="E23" s="1">
        <v>3</v>
      </c>
      <c r="F23" s="1">
        <v>3</v>
      </c>
      <c r="G23" s="1">
        <v>3</v>
      </c>
      <c r="H23" s="1">
        <v>3</v>
      </c>
      <c r="I23">
        <v>3</v>
      </c>
      <c r="J23" s="1">
        <v>3</v>
      </c>
      <c r="K23">
        <v>92</v>
      </c>
    </row>
    <row r="24" spans="3:11" x14ac:dyDescent="0.2">
      <c r="C24">
        <v>3</v>
      </c>
      <c r="D24">
        <v>2</v>
      </c>
      <c r="E24" s="1">
        <v>3</v>
      </c>
      <c r="F24" s="1">
        <v>3</v>
      </c>
      <c r="G24" s="1">
        <v>3</v>
      </c>
      <c r="H24" s="1">
        <v>3</v>
      </c>
      <c r="I24" s="1">
        <v>3</v>
      </c>
      <c r="J24" s="1">
        <v>3</v>
      </c>
      <c r="K24" s="1">
        <v>92</v>
      </c>
    </row>
    <row r="25" spans="3:11" x14ac:dyDescent="0.2">
      <c r="C25">
        <v>3</v>
      </c>
      <c r="D25">
        <v>3</v>
      </c>
      <c r="E25" s="1">
        <v>3</v>
      </c>
      <c r="F25" s="1">
        <v>3</v>
      </c>
      <c r="G25" s="1">
        <v>3</v>
      </c>
      <c r="H25" s="1">
        <v>3</v>
      </c>
      <c r="I25" s="1">
        <v>3</v>
      </c>
      <c r="J25" s="1">
        <v>3</v>
      </c>
      <c r="K25" s="1">
        <v>92</v>
      </c>
    </row>
    <row r="26" spans="3:11" x14ac:dyDescent="0.2">
      <c r="C26">
        <v>3</v>
      </c>
      <c r="D26">
        <v>4</v>
      </c>
      <c r="E26" s="1">
        <v>3</v>
      </c>
      <c r="F26" s="1">
        <v>3</v>
      </c>
      <c r="G26" s="1">
        <v>3</v>
      </c>
      <c r="H26" s="1">
        <v>3</v>
      </c>
      <c r="I26" s="1">
        <v>3</v>
      </c>
      <c r="J26" s="1">
        <v>3</v>
      </c>
      <c r="K26" s="1">
        <v>92</v>
      </c>
    </row>
    <row r="27" spans="3:11" x14ac:dyDescent="0.2">
      <c r="C27">
        <v>11</v>
      </c>
      <c r="D27">
        <v>1</v>
      </c>
      <c r="E27" s="1">
        <v>3</v>
      </c>
      <c r="F27" s="1">
        <v>3</v>
      </c>
      <c r="G27" s="1">
        <v>3</v>
      </c>
      <c r="H27" s="1">
        <v>3</v>
      </c>
      <c r="I27" s="1">
        <v>3</v>
      </c>
      <c r="J27" s="1">
        <v>3</v>
      </c>
      <c r="K27">
        <v>100</v>
      </c>
    </row>
    <row r="28" spans="3:11" x14ac:dyDescent="0.2">
      <c r="C28">
        <v>11</v>
      </c>
      <c r="D28">
        <v>2</v>
      </c>
      <c r="E28" s="1">
        <v>3</v>
      </c>
      <c r="F28" s="1">
        <v>3</v>
      </c>
      <c r="G28" s="1">
        <v>3</v>
      </c>
      <c r="H28" s="1">
        <v>3</v>
      </c>
      <c r="I28" s="1">
        <v>3</v>
      </c>
      <c r="J28" s="1">
        <v>3</v>
      </c>
      <c r="K28" s="1">
        <v>100</v>
      </c>
    </row>
    <row r="29" spans="3:11" x14ac:dyDescent="0.2">
      <c r="C29">
        <v>11</v>
      </c>
      <c r="D29">
        <v>3</v>
      </c>
      <c r="E29" s="1">
        <v>3</v>
      </c>
      <c r="F29" s="1">
        <v>3</v>
      </c>
      <c r="G29" s="1">
        <v>3</v>
      </c>
      <c r="H29" s="1">
        <v>3</v>
      </c>
      <c r="I29" s="1">
        <v>3</v>
      </c>
      <c r="J29" s="1">
        <v>3</v>
      </c>
      <c r="K29" s="1">
        <v>100</v>
      </c>
    </row>
    <row r="30" spans="3:11" x14ac:dyDescent="0.2">
      <c r="C30">
        <v>13</v>
      </c>
      <c r="D30">
        <v>1</v>
      </c>
      <c r="E30" s="1">
        <v>3</v>
      </c>
      <c r="F30" s="1">
        <v>3</v>
      </c>
      <c r="G30" s="1">
        <v>3</v>
      </c>
      <c r="H30" s="1">
        <v>3</v>
      </c>
      <c r="I30" s="1">
        <v>3</v>
      </c>
      <c r="J30" s="1">
        <v>3</v>
      </c>
      <c r="K30">
        <v>92</v>
      </c>
    </row>
    <row r="31" spans="3:11" x14ac:dyDescent="0.2">
      <c r="C31">
        <v>13</v>
      </c>
      <c r="D31">
        <v>2</v>
      </c>
      <c r="E31" s="1">
        <v>3</v>
      </c>
      <c r="F31" s="1">
        <v>3</v>
      </c>
      <c r="G31" s="1">
        <v>3</v>
      </c>
      <c r="H31" s="1">
        <v>3</v>
      </c>
      <c r="I31" s="1">
        <v>3</v>
      </c>
      <c r="J31" s="1">
        <v>3</v>
      </c>
      <c r="K31" s="1">
        <v>92</v>
      </c>
    </row>
    <row r="32" spans="3:11" x14ac:dyDescent="0.2">
      <c r="C32">
        <v>13</v>
      </c>
      <c r="D32">
        <v>3</v>
      </c>
      <c r="E32" s="1">
        <v>3</v>
      </c>
      <c r="F32" s="1">
        <v>3</v>
      </c>
      <c r="G32" s="1">
        <v>3</v>
      </c>
      <c r="H32" s="1">
        <v>3</v>
      </c>
      <c r="I32" s="1">
        <v>3</v>
      </c>
      <c r="J32" s="1">
        <v>3</v>
      </c>
      <c r="K32" s="1">
        <v>92</v>
      </c>
    </row>
    <row r="33" spans="3:11" x14ac:dyDescent="0.2">
      <c r="C33">
        <v>13</v>
      </c>
      <c r="D33">
        <v>4</v>
      </c>
      <c r="E33" s="1">
        <v>3</v>
      </c>
      <c r="F33" s="1">
        <v>3</v>
      </c>
      <c r="G33" s="1">
        <v>3</v>
      </c>
      <c r="H33" s="1">
        <v>3</v>
      </c>
      <c r="I33" s="1">
        <v>3</v>
      </c>
      <c r="J33" s="1">
        <v>3</v>
      </c>
      <c r="K33" s="1">
        <v>92</v>
      </c>
    </row>
    <row r="34" spans="3:11" x14ac:dyDescent="0.2">
      <c r="C34">
        <v>13</v>
      </c>
      <c r="D34">
        <v>5</v>
      </c>
      <c r="E34" s="1">
        <v>3</v>
      </c>
      <c r="F34" s="1">
        <v>3</v>
      </c>
      <c r="G34" s="1">
        <v>3</v>
      </c>
      <c r="H34" s="1">
        <v>3</v>
      </c>
      <c r="I34" s="1">
        <v>3</v>
      </c>
      <c r="J34" s="1">
        <v>3</v>
      </c>
      <c r="K34" s="1">
        <v>92</v>
      </c>
    </row>
    <row r="35" spans="3:11" x14ac:dyDescent="0.2">
      <c r="C35">
        <v>17</v>
      </c>
      <c r="D35">
        <v>1</v>
      </c>
      <c r="E35" s="1">
        <v>3</v>
      </c>
      <c r="F35" s="1">
        <v>3</v>
      </c>
      <c r="G35" s="1">
        <v>3</v>
      </c>
      <c r="H35" s="1">
        <v>3</v>
      </c>
      <c r="I35" s="1">
        <v>3</v>
      </c>
      <c r="J35">
        <v>2</v>
      </c>
      <c r="K35">
        <v>84</v>
      </c>
    </row>
    <row r="36" spans="3:11" x14ac:dyDescent="0.2">
      <c r="C36">
        <v>17</v>
      </c>
      <c r="D36">
        <v>2</v>
      </c>
      <c r="E36" s="1">
        <v>3</v>
      </c>
      <c r="F36" s="1">
        <v>3</v>
      </c>
      <c r="G36" s="1">
        <v>3</v>
      </c>
      <c r="H36" s="1">
        <v>3</v>
      </c>
      <c r="I36" s="1">
        <v>3</v>
      </c>
      <c r="J36" s="1">
        <v>2</v>
      </c>
      <c r="K36" s="1">
        <v>84</v>
      </c>
    </row>
    <row r="37" spans="3:11" x14ac:dyDescent="0.2">
      <c r="C37">
        <v>17</v>
      </c>
      <c r="D37">
        <v>3</v>
      </c>
      <c r="E37" s="1">
        <v>3</v>
      </c>
      <c r="F37" s="1">
        <v>3</v>
      </c>
      <c r="G37" s="1">
        <v>3</v>
      </c>
      <c r="H37" s="1">
        <v>3</v>
      </c>
      <c r="I37" s="1">
        <v>3</v>
      </c>
      <c r="J37" s="1">
        <v>2</v>
      </c>
      <c r="K37" s="1">
        <v>84</v>
      </c>
    </row>
    <row r="38" spans="3:11" x14ac:dyDescent="0.2">
      <c r="C38">
        <v>17</v>
      </c>
      <c r="D38">
        <v>4</v>
      </c>
      <c r="E38" s="1">
        <v>3</v>
      </c>
      <c r="F38" s="1">
        <v>3</v>
      </c>
      <c r="G38" s="1">
        <v>3</v>
      </c>
      <c r="H38" s="1">
        <v>3</v>
      </c>
      <c r="I38" s="1">
        <v>3</v>
      </c>
      <c r="J38" s="1">
        <v>2</v>
      </c>
      <c r="K38" s="1">
        <v>84</v>
      </c>
    </row>
    <row r="39" spans="3:11" x14ac:dyDescent="0.2">
      <c r="C39">
        <v>17</v>
      </c>
      <c r="D39">
        <v>5</v>
      </c>
      <c r="E39" s="1">
        <v>3</v>
      </c>
      <c r="F39" s="1">
        <v>3</v>
      </c>
      <c r="G39" s="1">
        <v>3</v>
      </c>
      <c r="H39" s="1">
        <v>3</v>
      </c>
      <c r="I39" s="1">
        <v>3</v>
      </c>
      <c r="J39" s="1">
        <v>2</v>
      </c>
      <c r="K39" s="1">
        <v>84</v>
      </c>
    </row>
    <row r="40" spans="3:11" x14ac:dyDescent="0.2">
      <c r="C40">
        <v>4</v>
      </c>
      <c r="D40">
        <v>1</v>
      </c>
      <c r="E40" s="1">
        <v>3</v>
      </c>
      <c r="F40" s="1">
        <v>3</v>
      </c>
      <c r="G40" s="1">
        <v>3</v>
      </c>
      <c r="H40" s="1">
        <v>3</v>
      </c>
      <c r="I40" s="1">
        <v>3</v>
      </c>
      <c r="J40">
        <v>3</v>
      </c>
      <c r="K40">
        <v>92</v>
      </c>
    </row>
    <row r="41" spans="3:11" x14ac:dyDescent="0.2">
      <c r="C41">
        <v>4</v>
      </c>
      <c r="D41">
        <v>2</v>
      </c>
      <c r="E41" s="1">
        <v>3</v>
      </c>
      <c r="F41" s="1">
        <v>3</v>
      </c>
      <c r="G41" s="1">
        <v>3</v>
      </c>
      <c r="H41" s="1">
        <v>3</v>
      </c>
      <c r="I41" s="1">
        <v>3</v>
      </c>
      <c r="J41" s="1">
        <v>3</v>
      </c>
      <c r="K41" s="1">
        <v>92</v>
      </c>
    </row>
    <row r="42" spans="3:11" x14ac:dyDescent="0.2">
      <c r="C42">
        <v>4</v>
      </c>
      <c r="D42">
        <v>3</v>
      </c>
      <c r="E42" s="1">
        <v>3</v>
      </c>
      <c r="F42" s="1">
        <v>3</v>
      </c>
      <c r="G42" s="1">
        <v>3</v>
      </c>
      <c r="H42" s="1">
        <v>3</v>
      </c>
      <c r="I42" s="1">
        <v>3</v>
      </c>
      <c r="J42" s="1">
        <v>3</v>
      </c>
      <c r="K42" s="1">
        <v>92</v>
      </c>
    </row>
    <row r="43" spans="3:11" x14ac:dyDescent="0.2">
      <c r="C43">
        <v>4</v>
      </c>
      <c r="D43">
        <v>4</v>
      </c>
      <c r="E43" s="1">
        <v>3</v>
      </c>
      <c r="F43" s="1">
        <v>3</v>
      </c>
      <c r="G43" s="1">
        <v>3</v>
      </c>
      <c r="H43" s="1">
        <v>3</v>
      </c>
      <c r="I43" s="1">
        <v>3</v>
      </c>
      <c r="J43" s="1">
        <v>3</v>
      </c>
      <c r="K43" s="1">
        <v>92</v>
      </c>
    </row>
    <row r="44" spans="3:11" x14ac:dyDescent="0.2">
      <c r="C44">
        <v>9</v>
      </c>
      <c r="D44">
        <v>1</v>
      </c>
      <c r="E44" s="1">
        <v>3</v>
      </c>
      <c r="F44" s="1">
        <v>3</v>
      </c>
      <c r="G44" s="1">
        <v>3</v>
      </c>
      <c r="H44" s="1">
        <v>3</v>
      </c>
      <c r="I44" s="1">
        <v>3</v>
      </c>
      <c r="J44" s="1">
        <v>3</v>
      </c>
      <c r="K44">
        <v>92</v>
      </c>
    </row>
    <row r="45" spans="3:11" x14ac:dyDescent="0.2">
      <c r="C45">
        <v>9</v>
      </c>
      <c r="D45">
        <v>2</v>
      </c>
      <c r="E45" s="1">
        <v>3</v>
      </c>
      <c r="F45" s="1">
        <v>3</v>
      </c>
      <c r="G45" s="1">
        <v>3</v>
      </c>
      <c r="H45" s="1">
        <v>3</v>
      </c>
      <c r="I45" s="1">
        <v>3</v>
      </c>
      <c r="J45" s="1">
        <v>3</v>
      </c>
      <c r="K45" s="1">
        <v>92</v>
      </c>
    </row>
    <row r="46" spans="3:11" x14ac:dyDescent="0.2">
      <c r="C46">
        <v>9</v>
      </c>
      <c r="D46">
        <v>3</v>
      </c>
      <c r="E46" s="1">
        <v>3</v>
      </c>
      <c r="F46" s="1">
        <v>3</v>
      </c>
      <c r="G46" s="1">
        <v>3</v>
      </c>
      <c r="H46" s="1">
        <v>3</v>
      </c>
      <c r="I46" s="1">
        <v>3</v>
      </c>
      <c r="J46" s="1">
        <v>3</v>
      </c>
      <c r="K46" s="1">
        <v>92</v>
      </c>
    </row>
    <row r="47" spans="3:11" x14ac:dyDescent="0.2">
      <c r="C47">
        <v>9</v>
      </c>
      <c r="D47">
        <v>4</v>
      </c>
      <c r="E47" s="1">
        <v>3</v>
      </c>
      <c r="F47" s="1">
        <v>3</v>
      </c>
      <c r="G47" s="1">
        <v>3</v>
      </c>
      <c r="H47" s="1">
        <v>3</v>
      </c>
      <c r="I47" s="1">
        <v>3</v>
      </c>
      <c r="J47" s="1">
        <v>3</v>
      </c>
      <c r="K47" s="1">
        <v>92</v>
      </c>
    </row>
    <row r="48" spans="3:11" x14ac:dyDescent="0.2">
      <c r="C48">
        <v>5</v>
      </c>
      <c r="D48">
        <v>1</v>
      </c>
      <c r="E48" s="1">
        <v>3</v>
      </c>
      <c r="F48" s="1">
        <v>3</v>
      </c>
      <c r="G48" s="1">
        <v>3</v>
      </c>
      <c r="H48" s="1">
        <v>3</v>
      </c>
      <c r="I48" s="1">
        <v>3</v>
      </c>
      <c r="J48" s="1">
        <v>3</v>
      </c>
      <c r="K48">
        <v>92</v>
      </c>
    </row>
    <row r="49" spans="3:11" x14ac:dyDescent="0.2">
      <c r="C49">
        <v>5</v>
      </c>
      <c r="D49">
        <v>2</v>
      </c>
      <c r="E49" s="1">
        <v>3</v>
      </c>
      <c r="F49" s="1">
        <v>3</v>
      </c>
      <c r="G49" s="1">
        <v>3</v>
      </c>
      <c r="H49" s="1">
        <v>3</v>
      </c>
      <c r="I49" s="1">
        <v>3</v>
      </c>
      <c r="J49" s="1">
        <v>3</v>
      </c>
      <c r="K49" s="1">
        <v>92</v>
      </c>
    </row>
    <row r="50" spans="3:11" x14ac:dyDescent="0.2">
      <c r="C50">
        <v>5</v>
      </c>
      <c r="D50">
        <v>3</v>
      </c>
      <c r="E50" s="1">
        <v>3</v>
      </c>
      <c r="F50" s="1">
        <v>3</v>
      </c>
      <c r="G50" s="1">
        <v>3</v>
      </c>
      <c r="H50" s="1">
        <v>3</v>
      </c>
      <c r="I50" s="1">
        <v>3</v>
      </c>
      <c r="J50" s="1">
        <v>3</v>
      </c>
      <c r="K50" s="1">
        <v>92</v>
      </c>
    </row>
    <row r="51" spans="3:11" x14ac:dyDescent="0.2">
      <c r="C51">
        <v>5</v>
      </c>
      <c r="D51">
        <v>4</v>
      </c>
      <c r="E51" s="1">
        <v>3</v>
      </c>
      <c r="F51" s="1">
        <v>3</v>
      </c>
      <c r="G51" s="1">
        <v>3</v>
      </c>
      <c r="H51" s="1">
        <v>3</v>
      </c>
      <c r="I51" s="1">
        <v>3</v>
      </c>
      <c r="J51" s="1">
        <v>3</v>
      </c>
      <c r="K51" s="1">
        <v>92</v>
      </c>
    </row>
    <row r="52" spans="3:11" x14ac:dyDescent="0.2">
      <c r="C52">
        <v>16</v>
      </c>
      <c r="D52">
        <v>1</v>
      </c>
      <c r="E52" s="1">
        <v>3</v>
      </c>
      <c r="F52" s="1">
        <v>3</v>
      </c>
      <c r="G52" s="1">
        <v>3</v>
      </c>
      <c r="H52" s="1">
        <v>3</v>
      </c>
      <c r="I52" s="1">
        <v>3</v>
      </c>
      <c r="J52" s="1">
        <v>3</v>
      </c>
      <c r="K52">
        <v>92</v>
      </c>
    </row>
    <row r="53" spans="3:11" x14ac:dyDescent="0.2">
      <c r="C53">
        <v>16</v>
      </c>
      <c r="D53">
        <v>2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3</v>
      </c>
      <c r="K53" s="1">
        <v>92</v>
      </c>
    </row>
    <row r="54" spans="3:11" x14ac:dyDescent="0.2">
      <c r="C54">
        <v>16</v>
      </c>
      <c r="D54">
        <v>3</v>
      </c>
      <c r="E54" s="1">
        <v>3</v>
      </c>
      <c r="F54" s="1">
        <v>3</v>
      </c>
      <c r="G54" s="1">
        <v>3</v>
      </c>
      <c r="H54" s="1">
        <v>3</v>
      </c>
      <c r="I54" s="1">
        <v>3</v>
      </c>
      <c r="J54" s="1">
        <v>3</v>
      </c>
      <c r="K54" s="1">
        <v>92</v>
      </c>
    </row>
    <row r="55" spans="3:11" x14ac:dyDescent="0.2">
      <c r="C55">
        <v>16</v>
      </c>
      <c r="D55">
        <v>4</v>
      </c>
      <c r="E55" s="1">
        <v>3</v>
      </c>
      <c r="F55" s="1">
        <v>3</v>
      </c>
      <c r="G55" s="1">
        <v>3</v>
      </c>
      <c r="H55" s="1">
        <v>3</v>
      </c>
      <c r="I55" s="1">
        <v>3</v>
      </c>
      <c r="J55" s="1">
        <v>3</v>
      </c>
      <c r="K55" s="1">
        <v>92</v>
      </c>
    </row>
    <row r="56" spans="3:11" x14ac:dyDescent="0.2">
      <c r="C56">
        <v>12</v>
      </c>
      <c r="D56">
        <v>1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  <c r="J56" s="1">
        <v>3</v>
      </c>
      <c r="K56">
        <v>93</v>
      </c>
    </row>
    <row r="57" spans="3:11" x14ac:dyDescent="0.2">
      <c r="C57">
        <v>12</v>
      </c>
      <c r="D57">
        <v>2</v>
      </c>
      <c r="E57" s="1">
        <v>3</v>
      </c>
      <c r="F57" s="1">
        <v>3</v>
      </c>
      <c r="G57" s="1">
        <v>3</v>
      </c>
      <c r="H57" s="1">
        <v>3</v>
      </c>
      <c r="I57" s="1">
        <v>3</v>
      </c>
      <c r="J57" s="1">
        <v>3</v>
      </c>
      <c r="K57" s="1">
        <v>93</v>
      </c>
    </row>
    <row r="58" spans="3:11" x14ac:dyDescent="0.2">
      <c r="C58">
        <v>12</v>
      </c>
      <c r="D58">
        <v>3</v>
      </c>
      <c r="E58" s="1">
        <v>3</v>
      </c>
      <c r="F58" s="1">
        <v>3</v>
      </c>
      <c r="G58" s="1">
        <v>3</v>
      </c>
      <c r="H58" s="1">
        <v>3</v>
      </c>
      <c r="I58" s="1">
        <v>3</v>
      </c>
      <c r="J58" s="1">
        <v>3</v>
      </c>
      <c r="K58" s="1">
        <v>93</v>
      </c>
    </row>
    <row r="59" spans="3:11" x14ac:dyDescent="0.2">
      <c r="C59">
        <v>12</v>
      </c>
      <c r="D59">
        <v>4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  <c r="J59" s="1">
        <v>3</v>
      </c>
      <c r="K59" s="1">
        <v>93</v>
      </c>
    </row>
    <row r="60" spans="3:11" x14ac:dyDescent="0.2">
      <c r="C60">
        <v>8</v>
      </c>
      <c r="D60">
        <v>1</v>
      </c>
      <c r="E60" s="1">
        <v>3</v>
      </c>
      <c r="F60" s="1">
        <v>3</v>
      </c>
      <c r="G60" s="1">
        <v>3</v>
      </c>
      <c r="H60" s="1">
        <v>3</v>
      </c>
      <c r="I60" s="1">
        <v>3</v>
      </c>
      <c r="J60" s="1">
        <v>3</v>
      </c>
      <c r="K60">
        <v>100</v>
      </c>
    </row>
    <row r="61" spans="3:11" x14ac:dyDescent="0.2">
      <c r="C61">
        <v>8</v>
      </c>
      <c r="D61">
        <v>2</v>
      </c>
      <c r="E61" s="1">
        <v>3</v>
      </c>
      <c r="F61" s="1">
        <v>3</v>
      </c>
      <c r="G61" s="1">
        <v>3</v>
      </c>
      <c r="H61" s="1">
        <v>3</v>
      </c>
      <c r="I61" s="1">
        <v>3</v>
      </c>
      <c r="J61" s="1">
        <v>3</v>
      </c>
      <c r="K61" s="1">
        <v>100</v>
      </c>
    </row>
    <row r="62" spans="3:11" x14ac:dyDescent="0.2">
      <c r="C62">
        <v>8</v>
      </c>
      <c r="D62">
        <v>3</v>
      </c>
      <c r="E62" s="1">
        <v>3</v>
      </c>
      <c r="F62" s="1">
        <v>3</v>
      </c>
      <c r="G62" s="1">
        <v>3</v>
      </c>
      <c r="H62" s="1">
        <v>3</v>
      </c>
      <c r="I62" s="1">
        <v>3</v>
      </c>
      <c r="J62" s="1">
        <v>3</v>
      </c>
      <c r="K62" s="1">
        <v>100</v>
      </c>
    </row>
    <row r="63" spans="3:11" x14ac:dyDescent="0.2">
      <c r="C63">
        <v>8</v>
      </c>
      <c r="D63">
        <v>4</v>
      </c>
      <c r="E63" s="1">
        <v>3</v>
      </c>
      <c r="F63" s="1">
        <v>3</v>
      </c>
      <c r="G63" s="1">
        <v>3</v>
      </c>
      <c r="H63" s="1">
        <v>3</v>
      </c>
      <c r="I63" s="1">
        <v>3</v>
      </c>
      <c r="J63" s="1">
        <v>3</v>
      </c>
      <c r="K63" s="1">
        <v>100</v>
      </c>
    </row>
    <row r="64" spans="3:11" x14ac:dyDescent="0.2">
      <c r="C64">
        <v>10</v>
      </c>
      <c r="D64">
        <v>1</v>
      </c>
      <c r="E64" s="1">
        <v>3</v>
      </c>
      <c r="F64" s="1">
        <v>3</v>
      </c>
      <c r="G64" s="1">
        <v>3</v>
      </c>
      <c r="H64" s="1">
        <v>3</v>
      </c>
      <c r="I64" s="1">
        <v>3</v>
      </c>
      <c r="J64" s="1">
        <v>3</v>
      </c>
      <c r="K64">
        <v>92</v>
      </c>
    </row>
    <row r="65" spans="3:11" x14ac:dyDescent="0.2">
      <c r="C65">
        <v>10</v>
      </c>
      <c r="D65">
        <v>2</v>
      </c>
      <c r="E65" s="1">
        <v>3</v>
      </c>
      <c r="F65" s="1">
        <v>3</v>
      </c>
      <c r="G65" s="1">
        <v>3</v>
      </c>
      <c r="H65" s="1">
        <v>3</v>
      </c>
      <c r="I65" s="1">
        <v>3</v>
      </c>
      <c r="J65" s="1">
        <v>3</v>
      </c>
      <c r="K65" s="1">
        <v>92</v>
      </c>
    </row>
    <row r="66" spans="3:11" x14ac:dyDescent="0.2">
      <c r="C66">
        <v>10</v>
      </c>
      <c r="D66">
        <v>3</v>
      </c>
      <c r="E66" s="1">
        <v>3</v>
      </c>
      <c r="F66" s="1">
        <v>3</v>
      </c>
      <c r="G66" s="1">
        <v>3</v>
      </c>
      <c r="H66" s="1">
        <v>3</v>
      </c>
      <c r="I66" s="1">
        <v>3</v>
      </c>
      <c r="J66" s="1">
        <v>3</v>
      </c>
      <c r="K66" s="1">
        <v>92</v>
      </c>
    </row>
    <row r="67" spans="3:11" x14ac:dyDescent="0.2">
      <c r="C67">
        <v>10</v>
      </c>
      <c r="D67">
        <v>4</v>
      </c>
      <c r="E67" s="1">
        <v>3</v>
      </c>
      <c r="F67" s="1">
        <v>3</v>
      </c>
      <c r="G67" s="1">
        <v>3</v>
      </c>
      <c r="H67" s="1">
        <v>3</v>
      </c>
      <c r="I67" s="1">
        <v>3</v>
      </c>
      <c r="J67" s="1">
        <v>3</v>
      </c>
      <c r="K67" s="1">
        <v>92</v>
      </c>
    </row>
    <row r="69" spans="3:11" x14ac:dyDescent="0.2">
      <c r="C69" s="27" t="s">
        <v>68</v>
      </c>
    </row>
    <row r="70" spans="3:11" x14ac:dyDescent="0.2">
      <c r="C70" s="26" t="s">
        <v>61</v>
      </c>
      <c r="E70" s="8" t="s">
        <v>41</v>
      </c>
      <c r="F70" s="8" t="s">
        <v>21</v>
      </c>
      <c r="G70" s="8" t="s">
        <v>22</v>
      </c>
      <c r="H70" s="8" t="s">
        <v>23</v>
      </c>
      <c r="I70" s="8" t="s">
        <v>42</v>
      </c>
      <c r="J70" s="28" t="s">
        <v>43</v>
      </c>
    </row>
    <row r="71" spans="3:11" x14ac:dyDescent="0.2">
      <c r="C71" s="26" t="s">
        <v>62</v>
      </c>
      <c r="E71" s="29">
        <v>3</v>
      </c>
      <c r="F71" s="29">
        <v>3</v>
      </c>
      <c r="G71" s="29">
        <v>3</v>
      </c>
      <c r="H71" s="29">
        <v>3</v>
      </c>
      <c r="I71" s="29" t="s">
        <v>65</v>
      </c>
      <c r="J71" s="29" t="s">
        <v>65</v>
      </c>
    </row>
    <row r="72" spans="3:11" x14ac:dyDescent="0.2">
      <c r="C72" s="26" t="s">
        <v>63</v>
      </c>
      <c r="E72" s="27">
        <f>AVERAGE(Table9[Clarity of Report and format])</f>
        <v>3</v>
      </c>
      <c r="F72" s="27">
        <f>AVERAGE(Table9[Project Charter/ Design Plan])</f>
        <v>3</v>
      </c>
      <c r="G72" s="27">
        <f>AVERAGE(Table9[Clarity/Relevance/Heading/Numbering of Figures/Tables])</f>
        <v>3</v>
      </c>
      <c r="H72" s="27">
        <f>AVERAGE(Table9[Referencing])</f>
        <v>3</v>
      </c>
      <c r="I72" s="27">
        <f>AVERAGE(Table9[Process Hazard Identification])</f>
        <v>2.9545454545454546</v>
      </c>
      <c r="J72" s="27">
        <f>AVERAGE(Table9[HAZOP])</f>
        <v>2.8787878787878789</v>
      </c>
    </row>
    <row r="73" spans="3:11" x14ac:dyDescent="0.2">
      <c r="C73" s="26" t="s">
        <v>64</v>
      </c>
      <c r="E73" s="29">
        <f>STDEV(Table9[Clarity of Report and format])</f>
        <v>0</v>
      </c>
      <c r="F73" s="29">
        <f>STDEV(Table9[Project Charter/ Design Plan])</f>
        <v>0</v>
      </c>
      <c r="G73" s="29">
        <f>STDEV(Table9[Clarity/Relevance/Heading/Numbering of Figures/Tables])</f>
        <v>0</v>
      </c>
      <c r="H73" s="29">
        <f>STDEV(Table9[Referencing])</f>
        <v>0</v>
      </c>
      <c r="I73" s="29">
        <f>STDEV(Table9[Process Hazard Identification])</f>
        <v>0.20989507868443227</v>
      </c>
      <c r="J73" s="29">
        <f>STDEV(Table9[HAZOP])</f>
        <v>0.32887460856458306</v>
      </c>
    </row>
    <row r="74" spans="3:11" x14ac:dyDescent="0.2">
      <c r="C74" s="1"/>
    </row>
    <row r="75" spans="3:11" x14ac:dyDescent="0.2">
      <c r="C75" s="26" t="s">
        <v>69</v>
      </c>
      <c r="E75" s="26">
        <f>AVERAGE(E72:J72)</f>
        <v>2.9722222222222228</v>
      </c>
    </row>
    <row r="76" spans="3:11" x14ac:dyDescent="0.2">
      <c r="C76" s="26" t="s">
        <v>66</v>
      </c>
      <c r="E76" s="26">
        <f>AVERAGE(I72:J72)</f>
        <v>2.916666666666667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4F70-3146-4398-B7C8-2534BB306695}">
  <dimension ref="C1:E75"/>
  <sheetViews>
    <sheetView workbookViewId="0">
      <selection activeCell="R11" sqref="R11"/>
    </sheetView>
  </sheetViews>
  <sheetFormatPr baseColWidth="10" defaultColWidth="8.83203125" defaultRowHeight="15" x14ac:dyDescent="0.2"/>
  <cols>
    <col min="3" max="3" width="18" customWidth="1"/>
    <col min="4" max="4" width="15.83203125" customWidth="1"/>
  </cols>
  <sheetData>
    <row r="1" spans="3:5" x14ac:dyDescent="0.2">
      <c r="C1" s="1"/>
      <c r="D1" s="1"/>
    </row>
    <row r="4" spans="3:5" x14ac:dyDescent="0.2">
      <c r="C4" s="1" t="s">
        <v>0</v>
      </c>
      <c r="D4" s="1" t="s">
        <v>1</v>
      </c>
      <c r="E4" t="s">
        <v>40</v>
      </c>
    </row>
    <row r="5" spans="3:5" x14ac:dyDescent="0.2">
      <c r="C5" t="s">
        <v>55</v>
      </c>
      <c r="D5">
        <v>1</v>
      </c>
      <c r="E5">
        <v>100</v>
      </c>
    </row>
    <row r="6" spans="3:5" x14ac:dyDescent="0.2">
      <c r="C6" s="1" t="s">
        <v>55</v>
      </c>
      <c r="D6">
        <v>2</v>
      </c>
      <c r="E6">
        <v>100</v>
      </c>
    </row>
    <row r="7" spans="3:5" x14ac:dyDescent="0.2">
      <c r="C7" s="1" t="s">
        <v>55</v>
      </c>
      <c r="D7">
        <v>3</v>
      </c>
      <c r="E7">
        <v>100</v>
      </c>
    </row>
    <row r="8" spans="3:5" x14ac:dyDescent="0.2">
      <c r="C8" s="1" t="s">
        <v>55</v>
      </c>
      <c r="D8">
        <v>4</v>
      </c>
      <c r="E8">
        <v>100</v>
      </c>
    </row>
    <row r="9" spans="3:5" x14ac:dyDescent="0.2">
      <c r="C9" t="s">
        <v>56</v>
      </c>
      <c r="D9">
        <v>1</v>
      </c>
      <c r="E9">
        <v>0</v>
      </c>
    </row>
    <row r="10" spans="3:5" x14ac:dyDescent="0.2">
      <c r="C10" s="1" t="s">
        <v>56</v>
      </c>
      <c r="D10">
        <v>2</v>
      </c>
      <c r="E10">
        <v>85</v>
      </c>
    </row>
    <row r="11" spans="3:5" x14ac:dyDescent="0.2">
      <c r="C11" s="1" t="s">
        <v>56</v>
      </c>
      <c r="D11">
        <v>3</v>
      </c>
      <c r="E11">
        <v>85</v>
      </c>
    </row>
    <row r="12" spans="3:5" x14ac:dyDescent="0.2">
      <c r="C12" s="1" t="s">
        <v>56</v>
      </c>
      <c r="D12">
        <v>4</v>
      </c>
      <c r="E12">
        <v>85</v>
      </c>
    </row>
    <row r="13" spans="3:5" x14ac:dyDescent="0.2">
      <c r="C13" s="1" t="s">
        <v>56</v>
      </c>
      <c r="D13">
        <v>5</v>
      </c>
      <c r="E13">
        <v>85</v>
      </c>
    </row>
    <row r="14" spans="3:5" x14ac:dyDescent="0.2">
      <c r="C14" t="s">
        <v>57</v>
      </c>
      <c r="D14">
        <v>1</v>
      </c>
      <c r="E14">
        <v>95</v>
      </c>
    </row>
    <row r="15" spans="3:5" x14ac:dyDescent="0.2">
      <c r="C15" s="1" t="s">
        <v>57</v>
      </c>
      <c r="D15">
        <v>2</v>
      </c>
      <c r="E15">
        <v>95</v>
      </c>
    </row>
    <row r="16" spans="3:5" x14ac:dyDescent="0.2">
      <c r="C16" s="1" t="s">
        <v>57</v>
      </c>
      <c r="D16">
        <v>3</v>
      </c>
      <c r="E16">
        <v>95</v>
      </c>
    </row>
    <row r="17" spans="3:5" x14ac:dyDescent="0.2">
      <c r="C17" s="1" t="s">
        <v>57</v>
      </c>
      <c r="D17">
        <v>4</v>
      </c>
      <c r="E17">
        <v>95</v>
      </c>
    </row>
    <row r="18" spans="3:5" x14ac:dyDescent="0.2">
      <c r="C18" t="s">
        <v>58</v>
      </c>
      <c r="D18">
        <v>1</v>
      </c>
      <c r="E18">
        <v>95</v>
      </c>
    </row>
    <row r="19" spans="3:5" x14ac:dyDescent="0.2">
      <c r="C19" s="1" t="s">
        <v>58</v>
      </c>
      <c r="D19">
        <v>2</v>
      </c>
      <c r="E19">
        <v>95</v>
      </c>
    </row>
    <row r="20" spans="3:5" x14ac:dyDescent="0.2">
      <c r="C20" s="1" t="s">
        <v>58</v>
      </c>
      <c r="D20">
        <v>3</v>
      </c>
      <c r="E20">
        <v>95</v>
      </c>
    </row>
    <row r="21" spans="3:5" x14ac:dyDescent="0.2">
      <c r="C21" s="1" t="s">
        <v>58</v>
      </c>
      <c r="D21">
        <v>4</v>
      </c>
      <c r="E21">
        <v>95</v>
      </c>
    </row>
    <row r="22" spans="3:5" x14ac:dyDescent="0.2">
      <c r="C22" t="s">
        <v>59</v>
      </c>
      <c r="D22">
        <v>1</v>
      </c>
      <c r="E22" s="1">
        <v>95</v>
      </c>
    </row>
    <row r="23" spans="3:5" x14ac:dyDescent="0.2">
      <c r="C23" s="1" t="s">
        <v>59</v>
      </c>
      <c r="D23">
        <v>2</v>
      </c>
      <c r="E23" s="1">
        <v>95</v>
      </c>
    </row>
    <row r="24" spans="3:5" x14ac:dyDescent="0.2">
      <c r="C24" s="1" t="s">
        <v>59</v>
      </c>
      <c r="D24">
        <v>3</v>
      </c>
      <c r="E24" s="1">
        <v>95</v>
      </c>
    </row>
    <row r="25" spans="3:5" x14ac:dyDescent="0.2">
      <c r="C25" s="1" t="s">
        <v>59</v>
      </c>
      <c r="D25">
        <v>4</v>
      </c>
      <c r="E25" s="1">
        <v>95</v>
      </c>
    </row>
    <row r="26" spans="3:5" x14ac:dyDescent="0.2">
      <c r="C26" s="1" t="s">
        <v>59</v>
      </c>
      <c r="D26">
        <v>5</v>
      </c>
      <c r="E26" s="1">
        <v>95</v>
      </c>
    </row>
    <row r="27" spans="3:5" x14ac:dyDescent="0.2">
      <c r="C27" t="s">
        <v>60</v>
      </c>
      <c r="D27">
        <v>1</v>
      </c>
      <c r="E27" s="1">
        <v>95</v>
      </c>
    </row>
    <row r="28" spans="3:5" x14ac:dyDescent="0.2">
      <c r="C28" s="1" t="s">
        <v>60</v>
      </c>
      <c r="D28">
        <v>2</v>
      </c>
      <c r="E28" s="1">
        <v>95</v>
      </c>
    </row>
    <row r="29" spans="3:5" x14ac:dyDescent="0.2">
      <c r="C29" s="1" t="s">
        <v>60</v>
      </c>
      <c r="D29">
        <v>3</v>
      </c>
      <c r="E29" s="1">
        <v>95</v>
      </c>
    </row>
    <row r="30" spans="3:5" x14ac:dyDescent="0.2">
      <c r="C30" s="1" t="s">
        <v>60</v>
      </c>
      <c r="D30">
        <v>4</v>
      </c>
      <c r="E30" s="1">
        <v>95</v>
      </c>
    </row>
    <row r="31" spans="3:5" x14ac:dyDescent="0.2">
      <c r="C31" s="1" t="s">
        <v>60</v>
      </c>
      <c r="D31">
        <v>5</v>
      </c>
      <c r="E31" s="1">
        <v>95</v>
      </c>
    </row>
    <row r="32" spans="3:5" x14ac:dyDescent="0.2">
      <c r="C32" t="s">
        <v>46</v>
      </c>
      <c r="D32">
        <v>1</v>
      </c>
      <c r="E32" s="1">
        <v>95</v>
      </c>
    </row>
    <row r="33" spans="3:5" x14ac:dyDescent="0.2">
      <c r="C33" s="1" t="s">
        <v>46</v>
      </c>
      <c r="D33">
        <v>2</v>
      </c>
      <c r="E33" s="1">
        <v>95</v>
      </c>
    </row>
    <row r="34" spans="3:5" x14ac:dyDescent="0.2">
      <c r="C34" s="1" t="s">
        <v>46</v>
      </c>
      <c r="D34">
        <v>3</v>
      </c>
      <c r="E34" s="1">
        <v>95</v>
      </c>
    </row>
    <row r="35" spans="3:5" x14ac:dyDescent="0.2">
      <c r="C35" s="1" t="s">
        <v>46</v>
      </c>
      <c r="D35">
        <v>4</v>
      </c>
      <c r="E35" s="1">
        <v>95</v>
      </c>
    </row>
    <row r="36" spans="3:5" x14ac:dyDescent="0.2">
      <c r="C36" t="s">
        <v>45</v>
      </c>
      <c r="D36">
        <v>1</v>
      </c>
      <c r="E36">
        <v>80</v>
      </c>
    </row>
    <row r="37" spans="3:5" x14ac:dyDescent="0.2">
      <c r="C37" s="1" t="s">
        <v>45</v>
      </c>
      <c r="D37">
        <v>2</v>
      </c>
      <c r="E37">
        <v>95</v>
      </c>
    </row>
    <row r="38" spans="3:5" x14ac:dyDescent="0.2">
      <c r="C38" s="1" t="s">
        <v>45</v>
      </c>
      <c r="D38">
        <v>3</v>
      </c>
      <c r="E38">
        <v>95</v>
      </c>
    </row>
    <row r="39" spans="3:5" x14ac:dyDescent="0.2">
      <c r="C39" s="1" t="s">
        <v>45</v>
      </c>
      <c r="D39">
        <v>4</v>
      </c>
      <c r="E39">
        <v>95</v>
      </c>
    </row>
    <row r="40" spans="3:5" x14ac:dyDescent="0.2">
      <c r="C40" t="s">
        <v>44</v>
      </c>
      <c r="D40">
        <v>1</v>
      </c>
      <c r="E40" s="1">
        <v>95</v>
      </c>
    </row>
    <row r="41" spans="3:5" x14ac:dyDescent="0.2">
      <c r="C41" s="1" t="s">
        <v>44</v>
      </c>
      <c r="D41">
        <v>2</v>
      </c>
      <c r="E41" s="1">
        <v>95</v>
      </c>
    </row>
    <row r="42" spans="3:5" x14ac:dyDescent="0.2">
      <c r="C42" s="1" t="s">
        <v>44</v>
      </c>
      <c r="D42">
        <v>3</v>
      </c>
      <c r="E42" s="1">
        <v>95</v>
      </c>
    </row>
    <row r="43" spans="3:5" x14ac:dyDescent="0.2">
      <c r="C43" s="1" t="s">
        <v>44</v>
      </c>
      <c r="D43">
        <v>4</v>
      </c>
      <c r="E43" s="1">
        <v>95</v>
      </c>
    </row>
    <row r="44" spans="3:5" x14ac:dyDescent="0.2">
      <c r="C44" s="1" t="s">
        <v>47</v>
      </c>
      <c r="D44">
        <v>1</v>
      </c>
      <c r="E44">
        <v>100</v>
      </c>
    </row>
    <row r="45" spans="3:5" x14ac:dyDescent="0.2">
      <c r="C45" s="1" t="s">
        <v>47</v>
      </c>
      <c r="D45">
        <v>2</v>
      </c>
      <c r="E45" s="1">
        <v>100</v>
      </c>
    </row>
    <row r="46" spans="3:5" x14ac:dyDescent="0.2">
      <c r="C46" s="1" t="s">
        <v>47</v>
      </c>
      <c r="D46">
        <v>3</v>
      </c>
      <c r="E46" s="1">
        <v>100</v>
      </c>
    </row>
    <row r="47" spans="3:5" x14ac:dyDescent="0.2">
      <c r="C47" s="1" t="s">
        <v>47</v>
      </c>
      <c r="D47">
        <v>4</v>
      </c>
      <c r="E47" s="1">
        <v>100</v>
      </c>
    </row>
    <row r="48" spans="3:5" x14ac:dyDescent="0.2">
      <c r="C48" t="s">
        <v>48</v>
      </c>
      <c r="D48">
        <v>1</v>
      </c>
      <c r="E48">
        <v>95</v>
      </c>
    </row>
    <row r="49" spans="3:5" x14ac:dyDescent="0.2">
      <c r="C49" s="1" t="s">
        <v>48</v>
      </c>
      <c r="D49">
        <v>2</v>
      </c>
      <c r="E49">
        <v>95</v>
      </c>
    </row>
    <row r="50" spans="3:5" x14ac:dyDescent="0.2">
      <c r="C50" s="1" t="s">
        <v>48</v>
      </c>
      <c r="D50">
        <v>3</v>
      </c>
      <c r="E50">
        <v>95</v>
      </c>
    </row>
    <row r="51" spans="3:5" x14ac:dyDescent="0.2">
      <c r="C51" s="1" t="s">
        <v>48</v>
      </c>
      <c r="D51">
        <v>4</v>
      </c>
      <c r="E51">
        <v>95</v>
      </c>
    </row>
    <row r="52" spans="3:5" x14ac:dyDescent="0.2">
      <c r="C52" t="s">
        <v>49</v>
      </c>
      <c r="D52">
        <v>1</v>
      </c>
      <c r="E52" s="1">
        <v>95</v>
      </c>
    </row>
    <row r="53" spans="3:5" x14ac:dyDescent="0.2">
      <c r="C53" s="1" t="s">
        <v>49</v>
      </c>
      <c r="D53">
        <v>2</v>
      </c>
      <c r="E53" s="1">
        <v>95</v>
      </c>
    </row>
    <row r="54" spans="3:5" x14ac:dyDescent="0.2">
      <c r="C54" s="1" t="s">
        <v>49</v>
      </c>
      <c r="D54">
        <v>3</v>
      </c>
      <c r="E54" s="1">
        <v>95</v>
      </c>
    </row>
    <row r="55" spans="3:5" x14ac:dyDescent="0.2">
      <c r="C55" s="1" t="s">
        <v>49</v>
      </c>
      <c r="D55">
        <v>4</v>
      </c>
      <c r="E55" s="1">
        <v>95</v>
      </c>
    </row>
    <row r="56" spans="3:5" x14ac:dyDescent="0.2">
      <c r="C56" t="s">
        <v>50</v>
      </c>
      <c r="D56">
        <v>1</v>
      </c>
      <c r="E56">
        <v>100</v>
      </c>
    </row>
    <row r="57" spans="3:5" x14ac:dyDescent="0.2">
      <c r="C57" s="1" t="s">
        <v>50</v>
      </c>
      <c r="D57">
        <v>2</v>
      </c>
      <c r="E57">
        <v>100</v>
      </c>
    </row>
    <row r="58" spans="3:5" x14ac:dyDescent="0.2">
      <c r="C58" s="1" t="s">
        <v>50</v>
      </c>
      <c r="D58">
        <v>3</v>
      </c>
      <c r="E58">
        <v>100</v>
      </c>
    </row>
    <row r="59" spans="3:5" x14ac:dyDescent="0.2">
      <c r="C59" s="1" t="s">
        <v>50</v>
      </c>
      <c r="D59">
        <v>4</v>
      </c>
      <c r="E59">
        <v>100</v>
      </c>
    </row>
    <row r="60" spans="3:5" x14ac:dyDescent="0.2">
      <c r="C60" t="s">
        <v>51</v>
      </c>
      <c r="D60">
        <v>1</v>
      </c>
      <c r="E60">
        <v>95</v>
      </c>
    </row>
    <row r="61" spans="3:5" x14ac:dyDescent="0.2">
      <c r="C61" s="1" t="s">
        <v>51</v>
      </c>
      <c r="D61">
        <v>2</v>
      </c>
      <c r="E61" s="1">
        <v>95</v>
      </c>
    </row>
    <row r="62" spans="3:5" x14ac:dyDescent="0.2">
      <c r="C62" s="1" t="s">
        <v>51</v>
      </c>
      <c r="D62">
        <v>3</v>
      </c>
      <c r="E62" s="1">
        <v>95</v>
      </c>
    </row>
    <row r="63" spans="3:5" x14ac:dyDescent="0.2">
      <c r="C63" s="1" t="s">
        <v>51</v>
      </c>
      <c r="D63">
        <v>4</v>
      </c>
      <c r="E63" s="1">
        <v>95</v>
      </c>
    </row>
    <row r="64" spans="3:5" x14ac:dyDescent="0.2">
      <c r="C64" t="s">
        <v>52</v>
      </c>
      <c r="D64">
        <v>1</v>
      </c>
      <c r="E64">
        <v>100</v>
      </c>
    </row>
    <row r="65" spans="3:5" x14ac:dyDescent="0.2">
      <c r="C65" s="1" t="s">
        <v>52</v>
      </c>
      <c r="D65">
        <v>2</v>
      </c>
      <c r="E65">
        <v>100</v>
      </c>
    </row>
    <row r="66" spans="3:5" x14ac:dyDescent="0.2">
      <c r="C66" s="1" t="s">
        <v>52</v>
      </c>
      <c r="D66">
        <v>3</v>
      </c>
      <c r="E66">
        <v>100</v>
      </c>
    </row>
    <row r="67" spans="3:5" x14ac:dyDescent="0.2">
      <c r="C67" s="1" t="s">
        <v>52</v>
      </c>
      <c r="D67">
        <v>4</v>
      </c>
      <c r="E67">
        <v>100</v>
      </c>
    </row>
    <row r="68" spans="3:5" x14ac:dyDescent="0.2">
      <c r="C68" t="s">
        <v>53</v>
      </c>
      <c r="D68">
        <v>1</v>
      </c>
      <c r="E68">
        <v>100</v>
      </c>
    </row>
    <row r="69" spans="3:5" x14ac:dyDescent="0.2">
      <c r="C69" s="1" t="s">
        <v>53</v>
      </c>
      <c r="D69">
        <v>2</v>
      </c>
      <c r="E69">
        <v>100</v>
      </c>
    </row>
    <row r="70" spans="3:5" x14ac:dyDescent="0.2">
      <c r="C70" s="1" t="s">
        <v>53</v>
      </c>
      <c r="D70">
        <v>3</v>
      </c>
      <c r="E70">
        <v>100</v>
      </c>
    </row>
    <row r="71" spans="3:5" x14ac:dyDescent="0.2">
      <c r="C71" s="1" t="s">
        <v>53</v>
      </c>
      <c r="D71">
        <v>4</v>
      </c>
      <c r="E71">
        <v>100</v>
      </c>
    </row>
    <row r="72" spans="3:5" x14ac:dyDescent="0.2">
      <c r="C72" t="s">
        <v>54</v>
      </c>
      <c r="D72">
        <v>1</v>
      </c>
      <c r="E72">
        <v>100</v>
      </c>
    </row>
    <row r="73" spans="3:5" x14ac:dyDescent="0.2">
      <c r="C73" s="1" t="s">
        <v>54</v>
      </c>
      <c r="D73">
        <v>2</v>
      </c>
      <c r="E73">
        <v>100</v>
      </c>
    </row>
    <row r="74" spans="3:5" x14ac:dyDescent="0.2">
      <c r="C74" s="1" t="s">
        <v>54</v>
      </c>
      <c r="D74">
        <v>3</v>
      </c>
      <c r="E74">
        <v>100</v>
      </c>
    </row>
    <row r="75" spans="3:5" x14ac:dyDescent="0.2">
      <c r="C75" s="1" t="s">
        <v>54</v>
      </c>
      <c r="D75">
        <v>4</v>
      </c>
      <c r="E75">
        <v>90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CHE 397Spring2019 final report</vt:lpstr>
      <vt:lpstr>CHE 397Spring2019 final ppt</vt:lpstr>
      <vt:lpstr>CHE 396 Fall 2018 HW1</vt:lpstr>
      <vt:lpstr>CHE 396 Fall 2018 HW4</vt:lpstr>
      <vt:lpstr>CHE 396 Fall 2018 ppt1</vt:lpstr>
      <vt:lpstr>CHE 396 Fall 2019 HW5</vt:lpstr>
      <vt:lpstr>CHE 396 Fall 2019 HW6</vt:lpstr>
      <vt:lpstr>CHE 396 Fall 2017 HW5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FaridBing</dc:creator>
  <cp:lastModifiedBy>Microsoft Office User</cp:lastModifiedBy>
  <dcterms:created xsi:type="dcterms:W3CDTF">2020-04-15T07:00:10Z</dcterms:created>
  <dcterms:modified xsi:type="dcterms:W3CDTF">2020-04-27T05:43:50Z</dcterms:modified>
</cp:coreProperties>
</file>