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Documents\ABET_2020-InProgress\2020_SelfStudyReport\Criterion4-ContinuousImprovement\AssessmentMethod1-CourseRubricAssessment\CHE 396-397\CHE396\"/>
    </mc:Choice>
  </mc:AlternateContent>
  <bookViews>
    <workbookView xWindow="763" yWindow="1243" windowWidth="27643" windowHeight="16097" activeTab="2"/>
  </bookViews>
  <sheets>
    <sheet name="CHE 396 Fall 2018 HW4" sheetId="1" r:id="rId1"/>
    <sheet name="CHE 396 Fall 2017 HW4" sheetId="2" r:id="rId2"/>
    <sheet name="CHE 396 Fall 2019 HW4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7" i="3" l="1"/>
  <c r="D76" i="3"/>
  <c r="I73" i="3"/>
  <c r="J73" i="3"/>
  <c r="D81" i="2"/>
  <c r="D80" i="2"/>
  <c r="O77" i="2"/>
  <c r="K77" i="2"/>
  <c r="F77" i="2"/>
  <c r="O74" i="3"/>
  <c r="N74" i="3"/>
  <c r="M74" i="3"/>
  <c r="L74" i="3"/>
  <c r="K74" i="3"/>
  <c r="J74" i="3"/>
  <c r="I74" i="3"/>
  <c r="H74" i="3"/>
  <c r="G74" i="3"/>
  <c r="F74" i="3"/>
  <c r="E74" i="3"/>
  <c r="D74" i="3"/>
  <c r="O73" i="3"/>
  <c r="N73" i="3"/>
  <c r="M73" i="3"/>
  <c r="L73" i="3"/>
  <c r="K73" i="3"/>
  <c r="H73" i="3"/>
  <c r="G73" i="3"/>
  <c r="F73" i="3"/>
  <c r="E73" i="3"/>
  <c r="D73" i="3"/>
  <c r="O78" i="2"/>
  <c r="N78" i="2"/>
  <c r="M78" i="2"/>
  <c r="L78" i="2"/>
  <c r="K78" i="2"/>
  <c r="J78" i="2"/>
  <c r="I78" i="2"/>
  <c r="H78" i="2"/>
  <c r="G78" i="2"/>
  <c r="F78" i="2"/>
  <c r="E78" i="2"/>
  <c r="D78" i="2"/>
  <c r="N77" i="2"/>
  <c r="M77" i="2"/>
  <c r="L77" i="2"/>
  <c r="J77" i="2"/>
  <c r="I77" i="2"/>
  <c r="H77" i="2"/>
  <c r="G77" i="2"/>
  <c r="E77" i="2"/>
  <c r="D77" i="2"/>
  <c r="O64" i="1"/>
  <c r="N64" i="1"/>
  <c r="M64" i="1"/>
  <c r="L64" i="1"/>
  <c r="K64" i="1"/>
  <c r="J64" i="1"/>
  <c r="I64" i="1"/>
  <c r="H64" i="1"/>
  <c r="G64" i="1"/>
  <c r="F64" i="1"/>
  <c r="E64" i="1"/>
  <c r="D64" i="1"/>
  <c r="O63" i="1"/>
  <c r="N63" i="1"/>
  <c r="M63" i="1"/>
  <c r="L63" i="1"/>
  <c r="K63" i="1"/>
  <c r="J63" i="1"/>
  <c r="D67" i="1" s="1"/>
  <c r="I63" i="1"/>
  <c r="H63" i="1"/>
  <c r="G63" i="1"/>
  <c r="F63" i="1"/>
  <c r="E63" i="1"/>
  <c r="D63" i="1"/>
  <c r="D66" i="1" s="1"/>
</calcChain>
</file>

<file path=xl/sharedStrings.xml><?xml version="1.0" encoding="utf-8"?>
<sst xmlns="http://schemas.openxmlformats.org/spreadsheetml/2006/main" count="120" uniqueCount="23">
  <si>
    <t>Group number</t>
  </si>
  <si>
    <t>Student number</t>
  </si>
  <si>
    <t>Clarity of Report</t>
  </si>
  <si>
    <t>Report Formatting</t>
  </si>
  <si>
    <t>Project Charter/ Design Plan</t>
  </si>
  <si>
    <t>Clarity/Relevance/Heading/Numbering of Figures/Tables</t>
  </si>
  <si>
    <t>Referencing</t>
  </si>
  <si>
    <t>Significant Figures</t>
  </si>
  <si>
    <t>Capital Cost</t>
  </si>
  <si>
    <t>Equipment cost (hand vs Aspen)/ Discussion</t>
  </si>
  <si>
    <t>VCOP/FCOP/Revenue</t>
  </si>
  <si>
    <t>Simple Payback, ROI, DCFROR</t>
  </si>
  <si>
    <t>NPV</t>
  </si>
  <si>
    <t>Sensitivity Analysis/ Discussion</t>
  </si>
  <si>
    <t>Raw Total</t>
  </si>
  <si>
    <t xml:space="preserve">This HW is about process economics </t>
  </si>
  <si>
    <t xml:space="preserve">Rubric Item </t>
  </si>
  <si>
    <t>Mapped SLO</t>
  </si>
  <si>
    <t>3,2</t>
  </si>
  <si>
    <t>Avg</t>
  </si>
  <si>
    <t>STD</t>
  </si>
  <si>
    <t xml:space="preserve">SLO 3 (written) Overall Avg </t>
  </si>
  <si>
    <t>SLO 2 Overall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</si>
</sst>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3" borderId="2" xfId="0" applyFont="1" applyFill="1" applyBorder="1"/>
    <xf numFmtId="0" fontId="0" fillId="2" borderId="3" xfId="0" applyFill="1" applyBorder="1"/>
    <xf numFmtId="0" fontId="0" fillId="2" borderId="0" xfId="0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7" displayName="Table7" ref="B1:P58" totalsRowShown="0">
  <autoFilter ref="B1:P58"/>
  <tableColumns count="15">
    <tableColumn id="1" name="Group number"/>
    <tableColumn id="2" name="Student number"/>
    <tableColumn id="3" name="Clarity of Report"/>
    <tableColumn id="4" name="Report Formatting"/>
    <tableColumn id="5" name="Project Charter/ Design Plan"/>
    <tableColumn id="6" name="Clarity/Relevance/Heading/Numbering of Figures/Tables"/>
    <tableColumn id="7" name="Referencing"/>
    <tableColumn id="8" name="Significant Figures"/>
    <tableColumn id="9" name="Capital Cost"/>
    <tableColumn id="10" name="Equipment cost (hand vs Aspen)/ Discussion"/>
    <tableColumn id="11" name="VCOP/FCOP/Revenue"/>
    <tableColumn id="12" name="Simple Payback, ROI, DCFROR"/>
    <tableColumn id="13" name="NPV"/>
    <tableColumn id="14" name="Sensitivity Analysis/ Discussion"/>
    <tableColumn id="15" name="Raw Total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73" displayName="Table73" ref="B1:P72" totalsRowShown="0">
  <autoFilter ref="B1:P72"/>
  <tableColumns count="15">
    <tableColumn id="1" name="Group number"/>
    <tableColumn id="2" name="Student number"/>
    <tableColumn id="3" name="Clarity of Report"/>
    <tableColumn id="4" name="Report Formatting"/>
    <tableColumn id="5" name="Project Charter/ Design Plan"/>
    <tableColumn id="6" name="Clarity/Relevance/Heading/Numbering of Figures/Tables"/>
    <tableColumn id="7" name="Referencing"/>
    <tableColumn id="8" name="Significant Figures"/>
    <tableColumn id="9" name="Capital Cost"/>
    <tableColumn id="10" name="Equipment cost (hand vs Aspen)/ Discussion"/>
    <tableColumn id="11" name="VCOP/FCOP/Revenue"/>
    <tableColumn id="12" name="Simple Payback, ROI, DCFROR"/>
    <tableColumn id="13" name="NPV"/>
    <tableColumn id="14" name="Sensitivity Analysis/ Discussion"/>
    <tableColumn id="15" name="Raw Total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74" displayName="Table74" ref="B1:P68" totalsRowShown="0">
  <autoFilter ref="B1:P68"/>
  <tableColumns count="15">
    <tableColumn id="1" name="Group number"/>
    <tableColumn id="2" name="Student number"/>
    <tableColumn id="3" name="Clarity of Report"/>
    <tableColumn id="4" name="Report Formatting"/>
    <tableColumn id="5" name="Project Charter/ Design Plan"/>
    <tableColumn id="6" name="Clarity/Relevance/Heading/Numbering of Figures/Tables"/>
    <tableColumn id="7" name="Referencing"/>
    <tableColumn id="8" name="Significant Figures"/>
    <tableColumn id="9" name="Capital Cost"/>
    <tableColumn id="10" name="Equipment cost (hand vs Aspen)/ Discussion"/>
    <tableColumn id="11" name="VCOP/FCOP/Revenue"/>
    <tableColumn id="12" name="Simple Payback, ROI, DCFROR"/>
    <tableColumn id="13" name="NPV"/>
    <tableColumn id="14" name="Sensitivity Analysis/ Discussion"/>
    <tableColumn id="15" name="Raw Tot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8"/>
  <sheetViews>
    <sheetView topLeftCell="A41" workbookViewId="0">
      <selection activeCell="B68" sqref="B68"/>
    </sheetView>
  </sheetViews>
  <sheetFormatPr defaultColWidth="10.85546875" defaultRowHeight="15.9" x14ac:dyDescent="0.45"/>
  <cols>
    <col min="2" max="2" width="18.0703125" customWidth="1"/>
    <col min="3" max="16" width="9" customWidth="1"/>
  </cols>
  <sheetData>
    <row r="1" spans="2:1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45">
      <c r="B2">
        <v>1</v>
      </c>
      <c r="C2">
        <v>1</v>
      </c>
      <c r="D2">
        <v>2</v>
      </c>
      <c r="E2">
        <v>3</v>
      </c>
      <c r="F2">
        <v>3</v>
      </c>
      <c r="G2">
        <v>3</v>
      </c>
      <c r="H2">
        <v>3</v>
      </c>
      <c r="I2">
        <v>2</v>
      </c>
      <c r="J2">
        <v>3</v>
      </c>
      <c r="K2">
        <v>3</v>
      </c>
      <c r="L2">
        <v>3</v>
      </c>
      <c r="M2">
        <v>2</v>
      </c>
      <c r="N2">
        <v>1</v>
      </c>
      <c r="O2">
        <v>2</v>
      </c>
      <c r="P2">
        <v>76</v>
      </c>
    </row>
    <row r="3" spans="2:16" x14ac:dyDescent="0.45">
      <c r="B3">
        <v>1</v>
      </c>
      <c r="C3">
        <v>2</v>
      </c>
      <c r="D3">
        <v>2</v>
      </c>
      <c r="E3">
        <v>3</v>
      </c>
      <c r="F3">
        <v>3</v>
      </c>
      <c r="G3">
        <v>3</v>
      </c>
      <c r="H3">
        <v>3</v>
      </c>
      <c r="I3">
        <v>2</v>
      </c>
      <c r="J3">
        <v>3</v>
      </c>
      <c r="K3">
        <v>3</v>
      </c>
      <c r="L3">
        <v>3</v>
      </c>
      <c r="M3">
        <v>2</v>
      </c>
      <c r="N3">
        <v>1</v>
      </c>
      <c r="O3">
        <v>2</v>
      </c>
      <c r="P3">
        <v>76</v>
      </c>
    </row>
    <row r="4" spans="2:16" x14ac:dyDescent="0.45">
      <c r="B4">
        <v>1</v>
      </c>
      <c r="C4">
        <v>3</v>
      </c>
      <c r="D4">
        <v>2</v>
      </c>
      <c r="E4">
        <v>3</v>
      </c>
      <c r="F4">
        <v>3</v>
      </c>
      <c r="G4">
        <v>3</v>
      </c>
      <c r="H4">
        <v>3</v>
      </c>
      <c r="I4">
        <v>2</v>
      </c>
      <c r="J4">
        <v>3</v>
      </c>
      <c r="K4">
        <v>3</v>
      </c>
      <c r="L4">
        <v>3</v>
      </c>
      <c r="M4">
        <v>2</v>
      </c>
      <c r="N4">
        <v>1</v>
      </c>
      <c r="O4">
        <v>2</v>
      </c>
      <c r="P4">
        <v>76</v>
      </c>
    </row>
    <row r="5" spans="2:16" x14ac:dyDescent="0.45">
      <c r="B5">
        <v>1</v>
      </c>
      <c r="C5">
        <v>4</v>
      </c>
      <c r="D5">
        <v>2</v>
      </c>
      <c r="E5">
        <v>3</v>
      </c>
      <c r="F5">
        <v>3</v>
      </c>
      <c r="G5">
        <v>3</v>
      </c>
      <c r="H5">
        <v>3</v>
      </c>
      <c r="I5">
        <v>2</v>
      </c>
      <c r="J5">
        <v>3</v>
      </c>
      <c r="K5">
        <v>3</v>
      </c>
      <c r="L5">
        <v>3</v>
      </c>
      <c r="M5">
        <v>2</v>
      </c>
      <c r="N5">
        <v>1</v>
      </c>
      <c r="O5">
        <v>2</v>
      </c>
      <c r="P5">
        <v>76</v>
      </c>
    </row>
    <row r="6" spans="2:16" x14ac:dyDescent="0.45">
      <c r="B6">
        <v>15</v>
      </c>
      <c r="C6">
        <v>1</v>
      </c>
      <c r="D6">
        <v>2</v>
      </c>
      <c r="E6">
        <v>3</v>
      </c>
      <c r="F6">
        <v>3</v>
      </c>
      <c r="G6">
        <v>3</v>
      </c>
      <c r="H6">
        <v>3</v>
      </c>
      <c r="I6">
        <v>2</v>
      </c>
      <c r="J6">
        <v>3</v>
      </c>
      <c r="K6">
        <v>3</v>
      </c>
      <c r="L6">
        <v>3</v>
      </c>
      <c r="M6">
        <v>3</v>
      </c>
      <c r="N6">
        <v>1</v>
      </c>
      <c r="O6">
        <v>2</v>
      </c>
      <c r="P6">
        <v>84</v>
      </c>
    </row>
    <row r="7" spans="2:16" x14ac:dyDescent="0.45">
      <c r="B7">
        <v>15</v>
      </c>
      <c r="C7">
        <v>2</v>
      </c>
      <c r="D7">
        <v>2</v>
      </c>
      <c r="E7">
        <v>3</v>
      </c>
      <c r="F7">
        <v>3</v>
      </c>
      <c r="G7">
        <v>3</v>
      </c>
      <c r="H7">
        <v>3</v>
      </c>
      <c r="I7">
        <v>2</v>
      </c>
      <c r="J7">
        <v>3</v>
      </c>
      <c r="K7">
        <v>3</v>
      </c>
      <c r="L7">
        <v>3</v>
      </c>
      <c r="M7">
        <v>3</v>
      </c>
      <c r="N7">
        <v>1</v>
      </c>
      <c r="O7">
        <v>2</v>
      </c>
      <c r="P7">
        <v>84</v>
      </c>
    </row>
    <row r="8" spans="2:16" x14ac:dyDescent="0.45">
      <c r="B8">
        <v>15</v>
      </c>
      <c r="C8">
        <v>3</v>
      </c>
      <c r="D8">
        <v>2</v>
      </c>
      <c r="E8">
        <v>3</v>
      </c>
      <c r="F8">
        <v>3</v>
      </c>
      <c r="G8">
        <v>3</v>
      </c>
      <c r="H8">
        <v>3</v>
      </c>
      <c r="I8">
        <v>2</v>
      </c>
      <c r="J8">
        <v>3</v>
      </c>
      <c r="K8">
        <v>3</v>
      </c>
      <c r="L8">
        <v>3</v>
      </c>
      <c r="M8">
        <v>3</v>
      </c>
      <c r="N8">
        <v>1</v>
      </c>
      <c r="O8">
        <v>2</v>
      </c>
      <c r="P8">
        <v>84</v>
      </c>
    </row>
    <row r="9" spans="2:16" x14ac:dyDescent="0.45">
      <c r="B9">
        <v>8</v>
      </c>
      <c r="C9">
        <v>1</v>
      </c>
      <c r="D9">
        <v>3</v>
      </c>
      <c r="E9">
        <v>3</v>
      </c>
      <c r="F9">
        <v>3</v>
      </c>
      <c r="G9">
        <v>1</v>
      </c>
      <c r="H9">
        <v>3</v>
      </c>
      <c r="I9">
        <v>2</v>
      </c>
      <c r="J9">
        <v>3</v>
      </c>
      <c r="K9">
        <v>3</v>
      </c>
      <c r="L9">
        <v>3</v>
      </c>
      <c r="M9">
        <v>3</v>
      </c>
      <c r="N9">
        <v>2</v>
      </c>
      <c r="O9">
        <v>2</v>
      </c>
      <c r="P9">
        <v>83</v>
      </c>
    </row>
    <row r="10" spans="2:16" x14ac:dyDescent="0.45">
      <c r="B10">
        <v>8</v>
      </c>
      <c r="C10">
        <v>2</v>
      </c>
      <c r="D10">
        <v>3</v>
      </c>
      <c r="E10">
        <v>3</v>
      </c>
      <c r="F10">
        <v>3</v>
      </c>
      <c r="G10">
        <v>1</v>
      </c>
      <c r="H10">
        <v>3</v>
      </c>
      <c r="I10">
        <v>2</v>
      </c>
      <c r="J10">
        <v>3</v>
      </c>
      <c r="K10">
        <v>3</v>
      </c>
      <c r="L10">
        <v>3</v>
      </c>
      <c r="M10">
        <v>3</v>
      </c>
      <c r="N10">
        <v>2</v>
      </c>
      <c r="O10">
        <v>2</v>
      </c>
      <c r="P10">
        <v>83</v>
      </c>
    </row>
    <row r="11" spans="2:16" x14ac:dyDescent="0.45">
      <c r="B11">
        <v>8</v>
      </c>
      <c r="C11">
        <v>3</v>
      </c>
      <c r="D11">
        <v>3</v>
      </c>
      <c r="E11">
        <v>3</v>
      </c>
      <c r="F11">
        <v>3</v>
      </c>
      <c r="G11">
        <v>1</v>
      </c>
      <c r="H11">
        <v>3</v>
      </c>
      <c r="I11">
        <v>2</v>
      </c>
      <c r="J11">
        <v>3</v>
      </c>
      <c r="K11">
        <v>3</v>
      </c>
      <c r="L11">
        <v>3</v>
      </c>
      <c r="M11">
        <v>3</v>
      </c>
      <c r="N11">
        <v>2</v>
      </c>
      <c r="O11">
        <v>2</v>
      </c>
      <c r="P11">
        <v>83</v>
      </c>
    </row>
    <row r="12" spans="2:16" x14ac:dyDescent="0.45">
      <c r="B12">
        <v>8</v>
      </c>
      <c r="C12">
        <v>4</v>
      </c>
      <c r="D12">
        <v>3</v>
      </c>
      <c r="E12">
        <v>3</v>
      </c>
      <c r="F12">
        <v>3</v>
      </c>
      <c r="G12">
        <v>1</v>
      </c>
      <c r="H12">
        <v>3</v>
      </c>
      <c r="I12">
        <v>2</v>
      </c>
      <c r="J12">
        <v>3</v>
      </c>
      <c r="K12">
        <v>3</v>
      </c>
      <c r="L12">
        <v>3</v>
      </c>
      <c r="M12">
        <v>3</v>
      </c>
      <c r="N12">
        <v>2</v>
      </c>
      <c r="O12">
        <v>2</v>
      </c>
      <c r="P12">
        <v>83</v>
      </c>
    </row>
    <row r="13" spans="2:16" x14ac:dyDescent="0.45">
      <c r="B13">
        <v>11</v>
      </c>
      <c r="C13">
        <v>1</v>
      </c>
      <c r="D13">
        <v>3</v>
      </c>
      <c r="E13">
        <v>3</v>
      </c>
      <c r="F13">
        <v>3</v>
      </c>
      <c r="G13">
        <v>3</v>
      </c>
      <c r="H13">
        <v>3</v>
      </c>
      <c r="I13">
        <v>2</v>
      </c>
      <c r="J13">
        <v>3</v>
      </c>
      <c r="K13">
        <v>3</v>
      </c>
      <c r="L13">
        <v>3</v>
      </c>
      <c r="M13">
        <v>3</v>
      </c>
      <c r="N13">
        <v>3</v>
      </c>
      <c r="O13">
        <v>2</v>
      </c>
      <c r="P13">
        <v>94</v>
      </c>
    </row>
    <row r="14" spans="2:16" x14ac:dyDescent="0.45">
      <c r="B14">
        <v>11</v>
      </c>
      <c r="C14">
        <v>2</v>
      </c>
      <c r="D14">
        <v>3</v>
      </c>
      <c r="E14">
        <v>3</v>
      </c>
      <c r="F14">
        <v>3</v>
      </c>
      <c r="G14">
        <v>3</v>
      </c>
      <c r="H14">
        <v>3</v>
      </c>
      <c r="I14">
        <v>2</v>
      </c>
      <c r="J14">
        <v>3</v>
      </c>
      <c r="K14">
        <v>3</v>
      </c>
      <c r="L14">
        <v>3</v>
      </c>
      <c r="M14">
        <v>3</v>
      </c>
      <c r="N14">
        <v>3</v>
      </c>
      <c r="O14">
        <v>2</v>
      </c>
      <c r="P14">
        <v>94</v>
      </c>
    </row>
    <row r="15" spans="2:16" x14ac:dyDescent="0.45">
      <c r="B15">
        <v>11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2</v>
      </c>
      <c r="J15">
        <v>3</v>
      </c>
      <c r="K15">
        <v>3</v>
      </c>
      <c r="L15">
        <v>3</v>
      </c>
      <c r="M15">
        <v>3</v>
      </c>
      <c r="N15">
        <v>3</v>
      </c>
      <c r="O15">
        <v>2</v>
      </c>
      <c r="P15">
        <v>94</v>
      </c>
    </row>
    <row r="16" spans="2:16" x14ac:dyDescent="0.45">
      <c r="B16">
        <v>11</v>
      </c>
      <c r="C16">
        <v>4</v>
      </c>
      <c r="D16">
        <v>3</v>
      </c>
      <c r="E16">
        <v>3</v>
      </c>
      <c r="F16">
        <v>3</v>
      </c>
      <c r="G16">
        <v>3</v>
      </c>
      <c r="H16">
        <v>3</v>
      </c>
      <c r="I16">
        <v>2</v>
      </c>
      <c r="J16">
        <v>3</v>
      </c>
      <c r="K16">
        <v>3</v>
      </c>
      <c r="L16">
        <v>3</v>
      </c>
      <c r="M16">
        <v>3</v>
      </c>
      <c r="N16">
        <v>3</v>
      </c>
      <c r="O16">
        <v>2</v>
      </c>
      <c r="P16">
        <v>94</v>
      </c>
    </row>
    <row r="17" spans="2:16" x14ac:dyDescent="0.45">
      <c r="B17">
        <v>5</v>
      </c>
      <c r="C17">
        <v>1</v>
      </c>
      <c r="D17">
        <v>3</v>
      </c>
      <c r="E17">
        <v>3</v>
      </c>
      <c r="F17">
        <v>3</v>
      </c>
      <c r="G17">
        <v>3</v>
      </c>
      <c r="H17">
        <v>3</v>
      </c>
      <c r="I17">
        <v>2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96</v>
      </c>
    </row>
    <row r="18" spans="2:16" x14ac:dyDescent="0.45">
      <c r="B18">
        <v>5</v>
      </c>
      <c r="C18">
        <v>2</v>
      </c>
      <c r="D18">
        <v>3</v>
      </c>
      <c r="E18">
        <v>3</v>
      </c>
      <c r="F18">
        <v>3</v>
      </c>
      <c r="G18">
        <v>3</v>
      </c>
      <c r="H18">
        <v>3</v>
      </c>
      <c r="I18">
        <v>2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96</v>
      </c>
    </row>
    <row r="19" spans="2:16" x14ac:dyDescent="0.45">
      <c r="B19">
        <v>5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2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96</v>
      </c>
    </row>
    <row r="20" spans="2:16" x14ac:dyDescent="0.45">
      <c r="B20">
        <v>5</v>
      </c>
      <c r="C20">
        <v>4</v>
      </c>
      <c r="D20">
        <v>3</v>
      </c>
      <c r="E20">
        <v>3</v>
      </c>
      <c r="F20">
        <v>3</v>
      </c>
      <c r="G20">
        <v>3</v>
      </c>
      <c r="H20">
        <v>3</v>
      </c>
      <c r="I20">
        <v>2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96</v>
      </c>
    </row>
    <row r="21" spans="2:16" x14ac:dyDescent="0.45">
      <c r="B21">
        <v>7</v>
      </c>
      <c r="C21">
        <v>1</v>
      </c>
      <c r="D21">
        <v>3</v>
      </c>
      <c r="E21">
        <v>3</v>
      </c>
      <c r="F21">
        <v>3</v>
      </c>
      <c r="G21">
        <v>3</v>
      </c>
      <c r="H21">
        <v>3</v>
      </c>
      <c r="I21">
        <v>2</v>
      </c>
      <c r="J21">
        <v>3</v>
      </c>
      <c r="K21">
        <v>3</v>
      </c>
      <c r="L21">
        <v>3</v>
      </c>
      <c r="M21">
        <v>3</v>
      </c>
      <c r="N21">
        <v>3</v>
      </c>
      <c r="O21">
        <v>2</v>
      </c>
      <c r="P21">
        <v>90</v>
      </c>
    </row>
    <row r="22" spans="2:16" x14ac:dyDescent="0.45">
      <c r="B22">
        <v>7</v>
      </c>
      <c r="C22">
        <v>2</v>
      </c>
      <c r="D22">
        <v>3</v>
      </c>
      <c r="E22">
        <v>3</v>
      </c>
      <c r="F22">
        <v>3</v>
      </c>
      <c r="G22">
        <v>3</v>
      </c>
      <c r="H22">
        <v>3</v>
      </c>
      <c r="I22">
        <v>2</v>
      </c>
      <c r="J22">
        <v>3</v>
      </c>
      <c r="K22">
        <v>3</v>
      </c>
      <c r="L22">
        <v>3</v>
      </c>
      <c r="M22">
        <v>3</v>
      </c>
      <c r="N22">
        <v>3</v>
      </c>
      <c r="O22">
        <v>2</v>
      </c>
      <c r="P22">
        <v>90</v>
      </c>
    </row>
    <row r="23" spans="2:16" x14ac:dyDescent="0.45">
      <c r="B23">
        <v>7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2</v>
      </c>
      <c r="J23">
        <v>3</v>
      </c>
      <c r="K23">
        <v>3</v>
      </c>
      <c r="L23">
        <v>3</v>
      </c>
      <c r="M23">
        <v>3</v>
      </c>
      <c r="N23">
        <v>3</v>
      </c>
      <c r="O23">
        <v>2</v>
      </c>
      <c r="P23">
        <v>90</v>
      </c>
    </row>
    <row r="24" spans="2:16" x14ac:dyDescent="0.45">
      <c r="B24">
        <v>7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2</v>
      </c>
      <c r="J24">
        <v>3</v>
      </c>
      <c r="K24">
        <v>3</v>
      </c>
      <c r="L24">
        <v>3</v>
      </c>
      <c r="M24">
        <v>3</v>
      </c>
      <c r="N24">
        <v>3</v>
      </c>
      <c r="O24">
        <v>2</v>
      </c>
      <c r="P24">
        <v>90</v>
      </c>
    </row>
    <row r="25" spans="2:16" x14ac:dyDescent="0.45">
      <c r="B25">
        <v>7</v>
      </c>
      <c r="C25">
        <v>5</v>
      </c>
      <c r="D25">
        <v>3</v>
      </c>
      <c r="E25">
        <v>3</v>
      </c>
      <c r="F25">
        <v>3</v>
      </c>
      <c r="G25">
        <v>3</v>
      </c>
      <c r="H25">
        <v>3</v>
      </c>
      <c r="I25">
        <v>2</v>
      </c>
      <c r="J25">
        <v>3</v>
      </c>
      <c r="K25">
        <v>3</v>
      </c>
      <c r="L25">
        <v>3</v>
      </c>
      <c r="M25">
        <v>3</v>
      </c>
      <c r="N25">
        <v>3</v>
      </c>
      <c r="O25">
        <v>2</v>
      </c>
      <c r="P25">
        <v>90</v>
      </c>
    </row>
    <row r="26" spans="2:16" x14ac:dyDescent="0.45">
      <c r="B26">
        <v>12</v>
      </c>
      <c r="C26">
        <v>1</v>
      </c>
      <c r="D26">
        <v>3</v>
      </c>
      <c r="E26">
        <v>3</v>
      </c>
      <c r="F26">
        <v>3</v>
      </c>
      <c r="G26">
        <v>3</v>
      </c>
      <c r="H26">
        <v>3</v>
      </c>
      <c r="I26">
        <v>2</v>
      </c>
      <c r="J26">
        <v>3</v>
      </c>
      <c r="K26">
        <v>3</v>
      </c>
      <c r="L26">
        <v>3</v>
      </c>
      <c r="M26">
        <v>3</v>
      </c>
      <c r="N26">
        <v>3</v>
      </c>
      <c r="O26">
        <v>2</v>
      </c>
      <c r="P26">
        <v>94</v>
      </c>
    </row>
    <row r="27" spans="2:16" x14ac:dyDescent="0.45">
      <c r="B27">
        <v>12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2</v>
      </c>
      <c r="J27">
        <v>3</v>
      </c>
      <c r="K27">
        <v>3</v>
      </c>
      <c r="L27">
        <v>3</v>
      </c>
      <c r="M27">
        <v>3</v>
      </c>
      <c r="N27">
        <v>3</v>
      </c>
      <c r="O27">
        <v>2</v>
      </c>
      <c r="P27">
        <v>94</v>
      </c>
    </row>
    <row r="28" spans="2:16" x14ac:dyDescent="0.45">
      <c r="B28">
        <v>12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2</v>
      </c>
      <c r="J28">
        <v>3</v>
      </c>
      <c r="K28">
        <v>3</v>
      </c>
      <c r="L28">
        <v>3</v>
      </c>
      <c r="M28">
        <v>3</v>
      </c>
      <c r="N28">
        <v>3</v>
      </c>
      <c r="O28">
        <v>2</v>
      </c>
      <c r="P28">
        <v>94</v>
      </c>
    </row>
    <row r="29" spans="2:16" x14ac:dyDescent="0.45">
      <c r="B29">
        <v>12</v>
      </c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2</v>
      </c>
      <c r="J29">
        <v>3</v>
      </c>
      <c r="K29">
        <v>3</v>
      </c>
      <c r="L29">
        <v>3</v>
      </c>
      <c r="M29">
        <v>3</v>
      </c>
      <c r="N29">
        <v>3</v>
      </c>
      <c r="O29">
        <v>2</v>
      </c>
      <c r="P29">
        <v>94</v>
      </c>
    </row>
    <row r="30" spans="2:16" x14ac:dyDescent="0.45">
      <c r="B30">
        <v>13</v>
      </c>
      <c r="C30">
        <v>1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2</v>
      </c>
      <c r="P30">
        <v>88</v>
      </c>
    </row>
    <row r="31" spans="2:16" x14ac:dyDescent="0.45">
      <c r="B31">
        <v>13</v>
      </c>
      <c r="C31">
        <v>2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2</v>
      </c>
      <c r="P31">
        <v>88</v>
      </c>
    </row>
    <row r="32" spans="2:16" x14ac:dyDescent="0.45">
      <c r="B32">
        <v>13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2</v>
      </c>
      <c r="P32">
        <v>88</v>
      </c>
    </row>
    <row r="33" spans="2:16" x14ac:dyDescent="0.45">
      <c r="B33">
        <v>13</v>
      </c>
      <c r="C33">
        <v>4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2</v>
      </c>
      <c r="P33">
        <v>88</v>
      </c>
    </row>
    <row r="34" spans="2:16" x14ac:dyDescent="0.45">
      <c r="B34">
        <v>14</v>
      </c>
      <c r="C34">
        <v>1</v>
      </c>
      <c r="D34">
        <v>2</v>
      </c>
      <c r="E34">
        <v>2</v>
      </c>
      <c r="F34">
        <v>3</v>
      </c>
      <c r="G34">
        <v>3</v>
      </c>
      <c r="H34">
        <v>3</v>
      </c>
      <c r="I34">
        <v>2</v>
      </c>
      <c r="J34">
        <v>3</v>
      </c>
      <c r="K34">
        <v>3</v>
      </c>
      <c r="L34">
        <v>3</v>
      </c>
      <c r="M34">
        <v>3</v>
      </c>
      <c r="N34">
        <v>3</v>
      </c>
      <c r="O34">
        <v>2</v>
      </c>
      <c r="P34">
        <v>82</v>
      </c>
    </row>
    <row r="35" spans="2:16" x14ac:dyDescent="0.45">
      <c r="B35">
        <v>14</v>
      </c>
      <c r="C35">
        <v>2</v>
      </c>
      <c r="D35">
        <v>2</v>
      </c>
      <c r="E35">
        <v>2</v>
      </c>
      <c r="F35">
        <v>3</v>
      </c>
      <c r="G35">
        <v>3</v>
      </c>
      <c r="H35">
        <v>3</v>
      </c>
      <c r="I35">
        <v>2</v>
      </c>
      <c r="J35">
        <v>3</v>
      </c>
      <c r="K35">
        <v>3</v>
      </c>
      <c r="L35">
        <v>3</v>
      </c>
      <c r="M35">
        <v>3</v>
      </c>
      <c r="N35">
        <v>3</v>
      </c>
      <c r="O35">
        <v>2</v>
      </c>
      <c r="P35">
        <v>82</v>
      </c>
    </row>
    <row r="36" spans="2:16" x14ac:dyDescent="0.45">
      <c r="B36">
        <v>14</v>
      </c>
      <c r="C36">
        <v>3</v>
      </c>
      <c r="D36">
        <v>2</v>
      </c>
      <c r="E36">
        <v>2</v>
      </c>
      <c r="F36">
        <v>3</v>
      </c>
      <c r="G36">
        <v>3</v>
      </c>
      <c r="H36">
        <v>3</v>
      </c>
      <c r="I36">
        <v>2</v>
      </c>
      <c r="J36">
        <v>3</v>
      </c>
      <c r="K36">
        <v>3</v>
      </c>
      <c r="L36">
        <v>3</v>
      </c>
      <c r="M36">
        <v>3</v>
      </c>
      <c r="N36">
        <v>3</v>
      </c>
      <c r="O36">
        <v>2</v>
      </c>
      <c r="P36">
        <v>82</v>
      </c>
    </row>
    <row r="37" spans="2:16" x14ac:dyDescent="0.45">
      <c r="B37">
        <v>14</v>
      </c>
      <c r="C37">
        <v>4</v>
      </c>
      <c r="D37">
        <v>2</v>
      </c>
      <c r="E37">
        <v>2</v>
      </c>
      <c r="F37">
        <v>3</v>
      </c>
      <c r="G37">
        <v>3</v>
      </c>
      <c r="H37">
        <v>3</v>
      </c>
      <c r="I37">
        <v>2</v>
      </c>
      <c r="J37">
        <v>3</v>
      </c>
      <c r="K37">
        <v>3</v>
      </c>
      <c r="L37">
        <v>3</v>
      </c>
      <c r="M37">
        <v>3</v>
      </c>
      <c r="N37">
        <v>3</v>
      </c>
      <c r="O37">
        <v>2</v>
      </c>
      <c r="P37">
        <v>82</v>
      </c>
    </row>
    <row r="38" spans="2:16" x14ac:dyDescent="0.45">
      <c r="B38">
        <v>6</v>
      </c>
      <c r="C38">
        <v>1</v>
      </c>
      <c r="D38">
        <v>2</v>
      </c>
      <c r="E38">
        <v>3</v>
      </c>
      <c r="F38">
        <v>3</v>
      </c>
      <c r="G38">
        <v>3</v>
      </c>
      <c r="H38">
        <v>3</v>
      </c>
      <c r="I38">
        <v>2</v>
      </c>
      <c r="J38">
        <v>3</v>
      </c>
      <c r="K38">
        <v>3</v>
      </c>
      <c r="L38">
        <v>3</v>
      </c>
      <c r="M38">
        <v>3</v>
      </c>
      <c r="N38">
        <v>1</v>
      </c>
      <c r="O38">
        <v>3</v>
      </c>
      <c r="P38">
        <v>82</v>
      </c>
    </row>
    <row r="39" spans="2:16" x14ac:dyDescent="0.45">
      <c r="B39">
        <v>6</v>
      </c>
      <c r="C39">
        <v>2</v>
      </c>
      <c r="D39">
        <v>2</v>
      </c>
      <c r="E39">
        <v>3</v>
      </c>
      <c r="F39">
        <v>3</v>
      </c>
      <c r="G39">
        <v>3</v>
      </c>
      <c r="H39">
        <v>3</v>
      </c>
      <c r="I39">
        <v>2</v>
      </c>
      <c r="J39">
        <v>3</v>
      </c>
      <c r="K39">
        <v>3</v>
      </c>
      <c r="L39">
        <v>3</v>
      </c>
      <c r="M39">
        <v>3</v>
      </c>
      <c r="N39">
        <v>1</v>
      </c>
      <c r="O39">
        <v>3</v>
      </c>
      <c r="P39">
        <v>82</v>
      </c>
    </row>
    <row r="40" spans="2:16" x14ac:dyDescent="0.45">
      <c r="B40">
        <v>6</v>
      </c>
      <c r="C40">
        <v>3</v>
      </c>
      <c r="D40">
        <v>2</v>
      </c>
      <c r="E40">
        <v>3</v>
      </c>
      <c r="F40">
        <v>3</v>
      </c>
      <c r="G40">
        <v>3</v>
      </c>
      <c r="H40">
        <v>3</v>
      </c>
      <c r="I40">
        <v>2</v>
      </c>
      <c r="J40">
        <v>3</v>
      </c>
      <c r="K40">
        <v>3</v>
      </c>
      <c r="L40">
        <v>3</v>
      </c>
      <c r="M40">
        <v>3</v>
      </c>
      <c r="N40">
        <v>1</v>
      </c>
      <c r="O40">
        <v>3</v>
      </c>
      <c r="P40">
        <v>82</v>
      </c>
    </row>
    <row r="41" spans="2:16" x14ac:dyDescent="0.45">
      <c r="B41">
        <v>6</v>
      </c>
      <c r="C41">
        <v>4</v>
      </c>
      <c r="D41">
        <v>2</v>
      </c>
      <c r="E41">
        <v>3</v>
      </c>
      <c r="F41">
        <v>3</v>
      </c>
      <c r="G41">
        <v>3</v>
      </c>
      <c r="H41">
        <v>3</v>
      </c>
      <c r="I41">
        <v>2</v>
      </c>
      <c r="J41">
        <v>3</v>
      </c>
      <c r="K41">
        <v>3</v>
      </c>
      <c r="L41">
        <v>3</v>
      </c>
      <c r="M41">
        <v>3</v>
      </c>
      <c r="N41">
        <v>1</v>
      </c>
      <c r="O41">
        <v>3</v>
      </c>
      <c r="P41">
        <v>82</v>
      </c>
    </row>
    <row r="42" spans="2:16" x14ac:dyDescent="0.45">
      <c r="B42">
        <v>6</v>
      </c>
      <c r="C42">
        <v>5</v>
      </c>
      <c r="D42">
        <v>2</v>
      </c>
      <c r="E42">
        <v>3</v>
      </c>
      <c r="F42">
        <v>3</v>
      </c>
      <c r="G42">
        <v>3</v>
      </c>
      <c r="H42">
        <v>3</v>
      </c>
      <c r="I42">
        <v>2</v>
      </c>
      <c r="J42">
        <v>3</v>
      </c>
      <c r="K42">
        <v>3</v>
      </c>
      <c r="L42">
        <v>3</v>
      </c>
      <c r="M42">
        <v>3</v>
      </c>
      <c r="N42">
        <v>1</v>
      </c>
      <c r="O42">
        <v>3</v>
      </c>
      <c r="P42">
        <v>82</v>
      </c>
    </row>
    <row r="43" spans="2:16" x14ac:dyDescent="0.45">
      <c r="B43">
        <v>2</v>
      </c>
      <c r="C43">
        <v>1</v>
      </c>
      <c r="D43">
        <v>2</v>
      </c>
      <c r="E43">
        <v>3</v>
      </c>
      <c r="F43">
        <v>3</v>
      </c>
      <c r="G43">
        <v>3</v>
      </c>
      <c r="H43">
        <v>3</v>
      </c>
      <c r="I43">
        <v>2</v>
      </c>
      <c r="J43">
        <v>3</v>
      </c>
      <c r="K43">
        <v>3</v>
      </c>
      <c r="L43">
        <v>3</v>
      </c>
      <c r="M43">
        <v>3</v>
      </c>
      <c r="N43">
        <v>1</v>
      </c>
      <c r="O43">
        <v>1</v>
      </c>
      <c r="P43">
        <v>82</v>
      </c>
    </row>
    <row r="44" spans="2:16" x14ac:dyDescent="0.45">
      <c r="B44">
        <v>2</v>
      </c>
      <c r="C44">
        <v>2</v>
      </c>
      <c r="D44">
        <v>2</v>
      </c>
      <c r="E44">
        <v>3</v>
      </c>
      <c r="F44">
        <v>3</v>
      </c>
      <c r="G44">
        <v>3</v>
      </c>
      <c r="H44">
        <v>3</v>
      </c>
      <c r="I44">
        <v>2</v>
      </c>
      <c r="J44">
        <v>3</v>
      </c>
      <c r="K44">
        <v>3</v>
      </c>
      <c r="L44">
        <v>3</v>
      </c>
      <c r="M44">
        <v>3</v>
      </c>
      <c r="N44">
        <v>1</v>
      </c>
      <c r="O44">
        <v>1</v>
      </c>
      <c r="P44">
        <v>82</v>
      </c>
    </row>
    <row r="45" spans="2:16" x14ac:dyDescent="0.45">
      <c r="B45">
        <v>2</v>
      </c>
      <c r="C45">
        <v>3</v>
      </c>
      <c r="D45">
        <v>2</v>
      </c>
      <c r="E45">
        <v>3</v>
      </c>
      <c r="F45">
        <v>3</v>
      </c>
      <c r="G45">
        <v>3</v>
      </c>
      <c r="H45">
        <v>3</v>
      </c>
      <c r="I45">
        <v>2</v>
      </c>
      <c r="J45">
        <v>3</v>
      </c>
      <c r="K45">
        <v>3</v>
      </c>
      <c r="L45">
        <v>3</v>
      </c>
      <c r="M45">
        <v>3</v>
      </c>
      <c r="N45">
        <v>1</v>
      </c>
      <c r="O45">
        <v>1</v>
      </c>
      <c r="P45">
        <v>82</v>
      </c>
    </row>
    <row r="46" spans="2:16" x14ac:dyDescent="0.45">
      <c r="B46">
        <v>2</v>
      </c>
      <c r="C46">
        <v>4</v>
      </c>
      <c r="D46">
        <v>2</v>
      </c>
      <c r="E46">
        <v>3</v>
      </c>
      <c r="F46">
        <v>3</v>
      </c>
      <c r="G46">
        <v>3</v>
      </c>
      <c r="H46">
        <v>3</v>
      </c>
      <c r="I46">
        <v>2</v>
      </c>
      <c r="J46">
        <v>3</v>
      </c>
      <c r="K46">
        <v>3</v>
      </c>
      <c r="L46">
        <v>3</v>
      </c>
      <c r="M46">
        <v>3</v>
      </c>
      <c r="N46">
        <v>1</v>
      </c>
      <c r="O46">
        <v>1</v>
      </c>
      <c r="P46">
        <v>82</v>
      </c>
    </row>
    <row r="47" spans="2:16" x14ac:dyDescent="0.45">
      <c r="B47">
        <v>10</v>
      </c>
      <c r="C47">
        <v>1</v>
      </c>
      <c r="D47">
        <v>2</v>
      </c>
      <c r="E47">
        <v>3</v>
      </c>
      <c r="F47">
        <v>3</v>
      </c>
      <c r="G47">
        <v>3</v>
      </c>
      <c r="H47">
        <v>3</v>
      </c>
      <c r="I47">
        <v>2</v>
      </c>
      <c r="J47">
        <v>3</v>
      </c>
      <c r="K47">
        <v>3</v>
      </c>
      <c r="L47">
        <v>3</v>
      </c>
      <c r="M47">
        <v>3</v>
      </c>
      <c r="N47">
        <v>3</v>
      </c>
      <c r="O47">
        <v>2</v>
      </c>
      <c r="P47">
        <v>90</v>
      </c>
    </row>
    <row r="48" spans="2:16" x14ac:dyDescent="0.45">
      <c r="B48">
        <v>10</v>
      </c>
      <c r="C48">
        <v>2</v>
      </c>
      <c r="D48">
        <v>2</v>
      </c>
      <c r="E48">
        <v>3</v>
      </c>
      <c r="F48">
        <v>3</v>
      </c>
      <c r="G48">
        <v>3</v>
      </c>
      <c r="H48">
        <v>3</v>
      </c>
      <c r="I48">
        <v>2</v>
      </c>
      <c r="J48">
        <v>3</v>
      </c>
      <c r="K48">
        <v>3</v>
      </c>
      <c r="L48">
        <v>3</v>
      </c>
      <c r="M48">
        <v>3</v>
      </c>
      <c r="N48">
        <v>3</v>
      </c>
      <c r="O48">
        <v>2</v>
      </c>
      <c r="P48">
        <v>90</v>
      </c>
    </row>
    <row r="49" spans="2:16" x14ac:dyDescent="0.45">
      <c r="B49">
        <v>10</v>
      </c>
      <c r="C49">
        <v>3</v>
      </c>
      <c r="D49">
        <v>2</v>
      </c>
      <c r="E49">
        <v>3</v>
      </c>
      <c r="F49">
        <v>3</v>
      </c>
      <c r="G49">
        <v>3</v>
      </c>
      <c r="H49">
        <v>3</v>
      </c>
      <c r="I49">
        <v>2</v>
      </c>
      <c r="J49">
        <v>3</v>
      </c>
      <c r="K49">
        <v>3</v>
      </c>
      <c r="L49">
        <v>3</v>
      </c>
      <c r="M49">
        <v>3</v>
      </c>
      <c r="N49">
        <v>3</v>
      </c>
      <c r="O49">
        <v>2</v>
      </c>
      <c r="P49">
        <v>90</v>
      </c>
    </row>
    <row r="50" spans="2:16" x14ac:dyDescent="0.45">
      <c r="B50">
        <v>10</v>
      </c>
      <c r="C50">
        <v>4</v>
      </c>
      <c r="D50">
        <v>2</v>
      </c>
      <c r="E50">
        <v>3</v>
      </c>
      <c r="F50">
        <v>3</v>
      </c>
      <c r="G50">
        <v>3</v>
      </c>
      <c r="H50">
        <v>3</v>
      </c>
      <c r="I50">
        <v>2</v>
      </c>
      <c r="J50">
        <v>3</v>
      </c>
      <c r="K50">
        <v>3</v>
      </c>
      <c r="L50">
        <v>3</v>
      </c>
      <c r="M50">
        <v>3</v>
      </c>
      <c r="N50">
        <v>3</v>
      </c>
      <c r="O50">
        <v>2</v>
      </c>
      <c r="P50">
        <v>90</v>
      </c>
    </row>
    <row r="51" spans="2:16" x14ac:dyDescent="0.45">
      <c r="B51">
        <v>9</v>
      </c>
      <c r="C51">
        <v>1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94</v>
      </c>
    </row>
    <row r="52" spans="2:16" x14ac:dyDescent="0.45">
      <c r="B52">
        <v>9</v>
      </c>
      <c r="C52">
        <v>2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94</v>
      </c>
    </row>
    <row r="53" spans="2:16" x14ac:dyDescent="0.45">
      <c r="B53">
        <v>9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94</v>
      </c>
    </row>
    <row r="54" spans="2:16" x14ac:dyDescent="0.45">
      <c r="B54">
        <v>9</v>
      </c>
      <c r="C54">
        <v>4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94</v>
      </c>
    </row>
    <row r="55" spans="2:16" x14ac:dyDescent="0.45">
      <c r="B55">
        <v>3</v>
      </c>
      <c r="C55">
        <v>1</v>
      </c>
      <c r="D55">
        <v>2</v>
      </c>
      <c r="E55">
        <v>3</v>
      </c>
      <c r="F55">
        <v>3</v>
      </c>
      <c r="G55">
        <v>3</v>
      </c>
      <c r="H55">
        <v>3</v>
      </c>
      <c r="I55">
        <v>2</v>
      </c>
      <c r="J55">
        <v>3</v>
      </c>
      <c r="K55">
        <v>3</v>
      </c>
      <c r="L55">
        <v>3</v>
      </c>
      <c r="M55">
        <v>3</v>
      </c>
      <c r="N55">
        <v>1</v>
      </c>
      <c r="O55">
        <v>3</v>
      </c>
      <c r="P55">
        <v>80</v>
      </c>
    </row>
    <row r="56" spans="2:16" x14ac:dyDescent="0.45">
      <c r="B56">
        <v>3</v>
      </c>
      <c r="C56">
        <v>2</v>
      </c>
      <c r="D56">
        <v>2</v>
      </c>
      <c r="E56">
        <v>3</v>
      </c>
      <c r="F56">
        <v>3</v>
      </c>
      <c r="G56">
        <v>3</v>
      </c>
      <c r="H56">
        <v>3</v>
      </c>
      <c r="I56">
        <v>2</v>
      </c>
      <c r="J56">
        <v>3</v>
      </c>
      <c r="K56">
        <v>3</v>
      </c>
      <c r="L56">
        <v>3</v>
      </c>
      <c r="M56">
        <v>3</v>
      </c>
      <c r="N56">
        <v>1</v>
      </c>
      <c r="O56">
        <v>3</v>
      </c>
      <c r="P56">
        <v>80</v>
      </c>
    </row>
    <row r="57" spans="2:16" x14ac:dyDescent="0.45">
      <c r="B57">
        <v>3</v>
      </c>
      <c r="C57">
        <v>3</v>
      </c>
      <c r="D57">
        <v>2</v>
      </c>
      <c r="E57">
        <v>3</v>
      </c>
      <c r="F57">
        <v>3</v>
      </c>
      <c r="G57">
        <v>3</v>
      </c>
      <c r="H57">
        <v>3</v>
      </c>
      <c r="I57">
        <v>2</v>
      </c>
      <c r="J57">
        <v>3</v>
      </c>
      <c r="K57">
        <v>3</v>
      </c>
      <c r="L57">
        <v>3</v>
      </c>
      <c r="M57">
        <v>3</v>
      </c>
      <c r="N57">
        <v>1</v>
      </c>
      <c r="O57">
        <v>3</v>
      </c>
      <c r="P57">
        <v>80</v>
      </c>
    </row>
    <row r="58" spans="2:16" x14ac:dyDescent="0.45">
      <c r="B58">
        <v>3</v>
      </c>
      <c r="C58">
        <v>4</v>
      </c>
      <c r="D58">
        <v>2</v>
      </c>
      <c r="E58">
        <v>3</v>
      </c>
      <c r="F58">
        <v>3</v>
      </c>
      <c r="G58">
        <v>3</v>
      </c>
      <c r="H58">
        <v>3</v>
      </c>
      <c r="I58">
        <v>2</v>
      </c>
      <c r="J58">
        <v>3</v>
      </c>
      <c r="K58">
        <v>3</v>
      </c>
      <c r="L58">
        <v>3</v>
      </c>
      <c r="M58">
        <v>3</v>
      </c>
      <c r="N58">
        <v>1</v>
      </c>
      <c r="O58">
        <v>3</v>
      </c>
      <c r="P58">
        <v>80</v>
      </c>
    </row>
    <row r="60" spans="2:16" x14ac:dyDescent="0.45">
      <c r="B60" t="s">
        <v>15</v>
      </c>
    </row>
    <row r="61" spans="2:16" x14ac:dyDescent="0.45">
      <c r="B61" s="1" t="s">
        <v>16</v>
      </c>
      <c r="D61" s="2" t="s">
        <v>2</v>
      </c>
      <c r="E61" s="2" t="s">
        <v>3</v>
      </c>
      <c r="F61" s="2" t="s">
        <v>4</v>
      </c>
      <c r="G61" s="2" t="s">
        <v>5</v>
      </c>
      <c r="H61" s="2" t="s">
        <v>6</v>
      </c>
      <c r="I61" s="2" t="s">
        <v>7</v>
      </c>
      <c r="J61" s="2" t="s">
        <v>8</v>
      </c>
      <c r="K61" s="2" t="s">
        <v>9</v>
      </c>
      <c r="L61" s="2" t="s">
        <v>10</v>
      </c>
      <c r="M61" s="2" t="s">
        <v>11</v>
      </c>
      <c r="N61" s="2" t="s">
        <v>12</v>
      </c>
      <c r="O61" s="2" t="s">
        <v>13</v>
      </c>
    </row>
    <row r="62" spans="2:16" x14ac:dyDescent="0.45">
      <c r="B62" s="1" t="s">
        <v>17</v>
      </c>
      <c r="D62" s="3">
        <v>3</v>
      </c>
      <c r="E62" s="3">
        <v>3</v>
      </c>
      <c r="F62" s="3">
        <v>3</v>
      </c>
      <c r="G62" s="3">
        <v>3</v>
      </c>
      <c r="H62" s="3">
        <v>3</v>
      </c>
      <c r="I62" s="3">
        <v>3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  <c r="O62" s="3" t="s">
        <v>18</v>
      </c>
    </row>
    <row r="63" spans="2:16" x14ac:dyDescent="0.45">
      <c r="B63" s="1" t="s">
        <v>19</v>
      </c>
      <c r="D63" s="4">
        <f>AVERAGE(Table7[Clarity of Report])</f>
        <v>2.5087719298245612</v>
      </c>
      <c r="E63" s="4">
        <f>AVERAGE(Table7[Report Formatting])</f>
        <v>2.9298245614035086</v>
      </c>
      <c r="F63" s="4">
        <f>AVERAGE(Table7[Project Charter/ Design Plan])</f>
        <v>3</v>
      </c>
      <c r="G63" s="4">
        <f>AVERAGE(Table7[Clarity/Relevance/Heading/Numbering of Figures/Tables])</f>
        <v>2.8596491228070176</v>
      </c>
      <c r="H63" s="4">
        <f>AVERAGE(Table7[Referencing])</f>
        <v>3</v>
      </c>
      <c r="I63" s="4">
        <f>AVERAGE(Table7[Significant Figures])</f>
        <v>2.1403508771929824</v>
      </c>
      <c r="J63" s="4">
        <f>AVERAGE(Table7[Capital Cost])</f>
        <v>3</v>
      </c>
      <c r="K63" s="4">
        <f>AVERAGE(Table7[Equipment cost (hand vs Aspen)/ Discussion])</f>
        <v>3</v>
      </c>
      <c r="L63" s="4">
        <f>AVERAGE(Table7[VCOP/FCOP/Revenue])</f>
        <v>3</v>
      </c>
      <c r="M63" s="4">
        <f>AVERAGE(Table7[Simple Payback, ROI, DCFROR])</f>
        <v>2.9298245614035086</v>
      </c>
      <c r="N63" s="4">
        <f>AVERAGE(Table7[NPV])</f>
        <v>2.2280701754385963</v>
      </c>
      <c r="O63" s="4">
        <f>AVERAGE(Table7[Sensitivity Analysis/ Discussion])</f>
        <v>2.2280701754385963</v>
      </c>
    </row>
    <row r="64" spans="2:16" x14ac:dyDescent="0.45">
      <c r="B64" s="1" t="s">
        <v>20</v>
      </c>
      <c r="D64" s="3">
        <f>STDEV(Table7[Clarity of Report])</f>
        <v>0.50436689513912469</v>
      </c>
      <c r="E64" s="3">
        <f>STDEV(Table7[Report Formatting])</f>
        <v>0.25771309648570556</v>
      </c>
      <c r="F64" s="3">
        <f>STDEV(Table7[Project Charter/ Design Plan])</f>
        <v>0</v>
      </c>
      <c r="G64" s="3">
        <f>STDEV(Table7[Clarity/Relevance/Heading/Numbering of Figures/Tables])</f>
        <v>0.51542619297141168</v>
      </c>
      <c r="H64" s="3">
        <f>STDEV(Table7[Referencing])</f>
        <v>0</v>
      </c>
      <c r="I64" s="3">
        <f>STDEV(Table7[Significant Figures])</f>
        <v>0.35043832202523184</v>
      </c>
      <c r="J64" s="3">
        <f>STDEV(Table7[Capital Cost])</f>
        <v>0</v>
      </c>
      <c r="K64" s="3">
        <f>STDEV(Table7[Equipment cost (hand vs Aspen)/ Discussion])</f>
        <v>0</v>
      </c>
      <c r="L64" s="3">
        <f>STDEV(Table7[VCOP/FCOP/Revenue])</f>
        <v>0</v>
      </c>
      <c r="M64" s="3">
        <f>STDEV(Table7[Simple Payback, ROI, DCFROR])</f>
        <v>0.25771309648570551</v>
      </c>
      <c r="N64" s="3">
        <f>STDEV(Table7[NPV])</f>
        <v>0.94524267216053204</v>
      </c>
      <c r="O64" s="3">
        <f>STDEV(Table7[Sensitivity Analysis/ Discussion])</f>
        <v>0.56749902012656506</v>
      </c>
    </row>
    <row r="66" spans="2:4" x14ac:dyDescent="0.45">
      <c r="B66" s="1" t="s">
        <v>21</v>
      </c>
      <c r="D66" s="1">
        <f>AVERAGE(D63:O63)</f>
        <v>2.7353801169590639</v>
      </c>
    </row>
    <row r="67" spans="2:4" x14ac:dyDescent="0.45">
      <c r="B67" s="1" t="s">
        <v>22</v>
      </c>
      <c r="D67" s="1">
        <f>AVERAGE(J63:O63)</f>
        <v>2.7309941520467835</v>
      </c>
    </row>
    <row r="68" spans="2:4" x14ac:dyDescent="0.45">
      <c r="B68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1"/>
  <sheetViews>
    <sheetView topLeftCell="A55" workbookViewId="0">
      <selection activeCell="D83" sqref="D83"/>
    </sheetView>
  </sheetViews>
  <sheetFormatPr defaultColWidth="10.85546875" defaultRowHeight="15.9" x14ac:dyDescent="0.45"/>
  <cols>
    <col min="2" max="16" width="9" customWidth="1"/>
  </cols>
  <sheetData>
    <row r="1" spans="2:1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45">
      <c r="B2">
        <v>1</v>
      </c>
      <c r="C2">
        <v>1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2</v>
      </c>
      <c r="P2">
        <v>91</v>
      </c>
    </row>
    <row r="3" spans="2:16" x14ac:dyDescent="0.45">
      <c r="B3">
        <v>1</v>
      </c>
      <c r="C3">
        <v>2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2</v>
      </c>
      <c r="P3">
        <v>91</v>
      </c>
    </row>
    <row r="4" spans="2:16" x14ac:dyDescent="0.45">
      <c r="B4">
        <v>1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2</v>
      </c>
      <c r="P4">
        <v>91</v>
      </c>
    </row>
    <row r="5" spans="2:16" x14ac:dyDescent="0.45">
      <c r="B5">
        <v>1</v>
      </c>
      <c r="C5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2</v>
      </c>
      <c r="P5">
        <v>91</v>
      </c>
    </row>
    <row r="6" spans="2:16" x14ac:dyDescent="0.45">
      <c r="B6">
        <v>2</v>
      </c>
      <c r="C6">
        <v>1</v>
      </c>
      <c r="D6">
        <v>3</v>
      </c>
      <c r="E6">
        <v>3</v>
      </c>
      <c r="F6">
        <v>3</v>
      </c>
      <c r="G6">
        <v>3</v>
      </c>
      <c r="H6">
        <v>3</v>
      </c>
      <c r="I6">
        <v>2</v>
      </c>
      <c r="J6">
        <v>3</v>
      </c>
      <c r="K6">
        <v>3</v>
      </c>
      <c r="L6">
        <v>3</v>
      </c>
      <c r="M6">
        <v>3</v>
      </c>
      <c r="N6">
        <v>2</v>
      </c>
      <c r="O6">
        <v>2</v>
      </c>
      <c r="P6">
        <v>88</v>
      </c>
    </row>
    <row r="7" spans="2:16" x14ac:dyDescent="0.45">
      <c r="B7">
        <v>2</v>
      </c>
      <c r="C7">
        <v>2</v>
      </c>
      <c r="D7">
        <v>3</v>
      </c>
      <c r="E7">
        <v>3</v>
      </c>
      <c r="F7">
        <v>3</v>
      </c>
      <c r="G7">
        <v>3</v>
      </c>
      <c r="H7">
        <v>3</v>
      </c>
      <c r="I7">
        <v>2</v>
      </c>
      <c r="J7">
        <v>3</v>
      </c>
      <c r="K7">
        <v>3</v>
      </c>
      <c r="L7">
        <v>3</v>
      </c>
      <c r="M7">
        <v>3</v>
      </c>
      <c r="N7">
        <v>2</v>
      </c>
      <c r="O7">
        <v>2</v>
      </c>
      <c r="P7">
        <v>88</v>
      </c>
    </row>
    <row r="8" spans="2:16" x14ac:dyDescent="0.45">
      <c r="B8">
        <v>2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2</v>
      </c>
      <c r="J8">
        <v>3</v>
      </c>
      <c r="K8">
        <v>3</v>
      </c>
      <c r="L8">
        <v>3</v>
      </c>
      <c r="M8">
        <v>3</v>
      </c>
      <c r="N8">
        <v>2</v>
      </c>
      <c r="O8">
        <v>2</v>
      </c>
      <c r="P8">
        <v>88</v>
      </c>
    </row>
    <row r="9" spans="2:16" x14ac:dyDescent="0.45">
      <c r="B9">
        <v>2</v>
      </c>
      <c r="C9">
        <v>4</v>
      </c>
      <c r="D9">
        <v>3</v>
      </c>
      <c r="E9">
        <v>3</v>
      </c>
      <c r="F9">
        <v>3</v>
      </c>
      <c r="G9">
        <v>3</v>
      </c>
      <c r="H9">
        <v>3</v>
      </c>
      <c r="I9">
        <v>2</v>
      </c>
      <c r="J9">
        <v>3</v>
      </c>
      <c r="K9">
        <v>3</v>
      </c>
      <c r="L9">
        <v>3</v>
      </c>
      <c r="M9">
        <v>3</v>
      </c>
      <c r="N9">
        <v>2</v>
      </c>
      <c r="O9">
        <v>2</v>
      </c>
      <c r="P9">
        <v>88</v>
      </c>
    </row>
    <row r="10" spans="2:16" x14ac:dyDescent="0.45">
      <c r="B10">
        <v>3</v>
      </c>
      <c r="C10">
        <v>1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1</v>
      </c>
      <c r="O10">
        <v>3</v>
      </c>
      <c r="P10">
        <v>89</v>
      </c>
    </row>
    <row r="11" spans="2:16" x14ac:dyDescent="0.45">
      <c r="B11">
        <v>3</v>
      </c>
      <c r="C11">
        <v>2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</v>
      </c>
      <c r="O11">
        <v>3</v>
      </c>
      <c r="P11">
        <v>89</v>
      </c>
    </row>
    <row r="12" spans="2:16" x14ac:dyDescent="0.45"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</v>
      </c>
      <c r="O12">
        <v>3</v>
      </c>
      <c r="P12">
        <v>89</v>
      </c>
    </row>
    <row r="13" spans="2:16" x14ac:dyDescent="0.45">
      <c r="B13">
        <v>3</v>
      </c>
      <c r="C13">
        <v>4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1</v>
      </c>
      <c r="O13">
        <v>3</v>
      </c>
      <c r="P13">
        <v>89</v>
      </c>
    </row>
    <row r="14" spans="2:16" x14ac:dyDescent="0.45">
      <c r="B14">
        <v>4</v>
      </c>
      <c r="C14">
        <v>1</v>
      </c>
      <c r="D14">
        <v>3</v>
      </c>
      <c r="E14">
        <v>3</v>
      </c>
      <c r="F14">
        <v>3</v>
      </c>
      <c r="G14">
        <v>3</v>
      </c>
      <c r="H14">
        <v>3</v>
      </c>
      <c r="I14">
        <v>2</v>
      </c>
      <c r="J14">
        <v>3</v>
      </c>
      <c r="K14">
        <v>3</v>
      </c>
      <c r="L14">
        <v>3</v>
      </c>
      <c r="M14">
        <v>3</v>
      </c>
      <c r="N14">
        <v>3</v>
      </c>
      <c r="O14">
        <v>1</v>
      </c>
      <c r="P14">
        <v>89</v>
      </c>
    </row>
    <row r="15" spans="2:16" x14ac:dyDescent="0.45">
      <c r="B15">
        <v>4</v>
      </c>
      <c r="C15">
        <v>2</v>
      </c>
      <c r="D15">
        <v>3</v>
      </c>
      <c r="E15">
        <v>3</v>
      </c>
      <c r="F15">
        <v>3</v>
      </c>
      <c r="G15">
        <v>3</v>
      </c>
      <c r="H15">
        <v>3</v>
      </c>
      <c r="I15">
        <v>2</v>
      </c>
      <c r="J15">
        <v>3</v>
      </c>
      <c r="K15">
        <v>3</v>
      </c>
      <c r="L15">
        <v>3</v>
      </c>
      <c r="M15">
        <v>3</v>
      </c>
      <c r="N15">
        <v>3</v>
      </c>
      <c r="O15">
        <v>1</v>
      </c>
      <c r="P15">
        <v>89</v>
      </c>
    </row>
    <row r="16" spans="2:16" x14ac:dyDescent="0.45">
      <c r="B16">
        <v>4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2</v>
      </c>
      <c r="J16">
        <v>3</v>
      </c>
      <c r="K16">
        <v>3</v>
      </c>
      <c r="L16">
        <v>3</v>
      </c>
      <c r="M16">
        <v>3</v>
      </c>
      <c r="N16">
        <v>3</v>
      </c>
      <c r="O16">
        <v>1</v>
      </c>
      <c r="P16">
        <v>89</v>
      </c>
    </row>
    <row r="17" spans="2:16" x14ac:dyDescent="0.45">
      <c r="B17">
        <v>4</v>
      </c>
      <c r="C17">
        <v>4</v>
      </c>
      <c r="D17">
        <v>3</v>
      </c>
      <c r="E17">
        <v>3</v>
      </c>
      <c r="F17">
        <v>3</v>
      </c>
      <c r="G17">
        <v>3</v>
      </c>
      <c r="H17">
        <v>3</v>
      </c>
      <c r="I17">
        <v>2</v>
      </c>
      <c r="J17">
        <v>3</v>
      </c>
      <c r="K17">
        <v>3</v>
      </c>
      <c r="L17">
        <v>3</v>
      </c>
      <c r="M17">
        <v>3</v>
      </c>
      <c r="N17">
        <v>3</v>
      </c>
      <c r="O17">
        <v>1</v>
      </c>
      <c r="P17">
        <v>89</v>
      </c>
    </row>
    <row r="18" spans="2:16" x14ac:dyDescent="0.45">
      <c r="B18">
        <v>5</v>
      </c>
      <c r="C18">
        <v>1</v>
      </c>
      <c r="D18">
        <v>3</v>
      </c>
      <c r="E18">
        <v>3</v>
      </c>
      <c r="F18">
        <v>1</v>
      </c>
      <c r="G18">
        <v>3</v>
      </c>
      <c r="H18">
        <v>3</v>
      </c>
      <c r="I18">
        <v>2</v>
      </c>
      <c r="J18">
        <v>3</v>
      </c>
      <c r="K18">
        <v>2</v>
      </c>
      <c r="L18">
        <v>3</v>
      </c>
      <c r="M18">
        <v>3</v>
      </c>
      <c r="N18">
        <v>3</v>
      </c>
      <c r="O18">
        <v>3</v>
      </c>
      <c r="P18">
        <v>83</v>
      </c>
    </row>
    <row r="19" spans="2:16" x14ac:dyDescent="0.45">
      <c r="B19">
        <v>5</v>
      </c>
      <c r="C19">
        <v>2</v>
      </c>
      <c r="D19">
        <v>3</v>
      </c>
      <c r="E19">
        <v>3</v>
      </c>
      <c r="F19">
        <v>1</v>
      </c>
      <c r="G19">
        <v>3</v>
      </c>
      <c r="H19">
        <v>3</v>
      </c>
      <c r="I19">
        <v>2</v>
      </c>
      <c r="J19">
        <v>3</v>
      </c>
      <c r="K19">
        <v>2</v>
      </c>
      <c r="L19">
        <v>3</v>
      </c>
      <c r="M19">
        <v>3</v>
      </c>
      <c r="N19">
        <v>3</v>
      </c>
      <c r="O19">
        <v>3</v>
      </c>
      <c r="P19">
        <v>83</v>
      </c>
    </row>
    <row r="20" spans="2:16" x14ac:dyDescent="0.45">
      <c r="B20">
        <v>5</v>
      </c>
      <c r="C20">
        <v>3</v>
      </c>
      <c r="D20">
        <v>3</v>
      </c>
      <c r="E20">
        <v>3</v>
      </c>
      <c r="F20">
        <v>1</v>
      </c>
      <c r="G20">
        <v>3</v>
      </c>
      <c r="H20">
        <v>3</v>
      </c>
      <c r="I20">
        <v>2</v>
      </c>
      <c r="J20">
        <v>3</v>
      </c>
      <c r="K20">
        <v>2</v>
      </c>
      <c r="L20">
        <v>3</v>
      </c>
      <c r="M20">
        <v>3</v>
      </c>
      <c r="N20">
        <v>3</v>
      </c>
      <c r="O20">
        <v>3</v>
      </c>
      <c r="P20">
        <v>83</v>
      </c>
    </row>
    <row r="21" spans="2:16" x14ac:dyDescent="0.45">
      <c r="B21">
        <v>5</v>
      </c>
      <c r="C21">
        <v>4</v>
      </c>
      <c r="D21">
        <v>3</v>
      </c>
      <c r="E21">
        <v>3</v>
      </c>
      <c r="F21">
        <v>1</v>
      </c>
      <c r="G21">
        <v>3</v>
      </c>
      <c r="H21">
        <v>3</v>
      </c>
      <c r="I21">
        <v>2</v>
      </c>
      <c r="J21">
        <v>3</v>
      </c>
      <c r="K21">
        <v>2</v>
      </c>
      <c r="L21">
        <v>3</v>
      </c>
      <c r="M21">
        <v>3</v>
      </c>
      <c r="N21">
        <v>3</v>
      </c>
      <c r="O21">
        <v>3</v>
      </c>
      <c r="P21">
        <v>83</v>
      </c>
    </row>
    <row r="22" spans="2:16" x14ac:dyDescent="0.45">
      <c r="B22">
        <v>6</v>
      </c>
      <c r="C22">
        <v>1</v>
      </c>
      <c r="D22">
        <v>3</v>
      </c>
      <c r="E22">
        <v>3</v>
      </c>
      <c r="F22">
        <v>3</v>
      </c>
      <c r="G22">
        <v>3</v>
      </c>
      <c r="H22">
        <v>3</v>
      </c>
      <c r="I22">
        <v>2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92</v>
      </c>
    </row>
    <row r="23" spans="2:16" x14ac:dyDescent="0.45">
      <c r="B23">
        <v>6</v>
      </c>
      <c r="C23">
        <v>2</v>
      </c>
      <c r="D23">
        <v>3</v>
      </c>
      <c r="E23">
        <v>3</v>
      </c>
      <c r="F23">
        <v>3</v>
      </c>
      <c r="G23">
        <v>3</v>
      </c>
      <c r="H23">
        <v>3</v>
      </c>
      <c r="I23">
        <v>2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92</v>
      </c>
    </row>
    <row r="24" spans="2:16" x14ac:dyDescent="0.45">
      <c r="B24">
        <v>6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2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92</v>
      </c>
    </row>
    <row r="25" spans="2:16" x14ac:dyDescent="0.45">
      <c r="B25">
        <v>6</v>
      </c>
      <c r="C25">
        <v>4</v>
      </c>
      <c r="D25">
        <v>3</v>
      </c>
      <c r="E25">
        <v>3</v>
      </c>
      <c r="F25">
        <v>3</v>
      </c>
      <c r="G25">
        <v>3</v>
      </c>
      <c r="H25">
        <v>3</v>
      </c>
      <c r="I25">
        <v>2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92</v>
      </c>
    </row>
    <row r="26" spans="2:16" x14ac:dyDescent="0.45">
      <c r="B26">
        <v>7</v>
      </c>
      <c r="C26">
        <v>1</v>
      </c>
      <c r="D26">
        <v>3</v>
      </c>
      <c r="E26">
        <v>3</v>
      </c>
      <c r="F26">
        <v>3</v>
      </c>
      <c r="G26">
        <v>3</v>
      </c>
      <c r="H26">
        <v>3</v>
      </c>
      <c r="I26">
        <v>1</v>
      </c>
      <c r="J26">
        <v>3</v>
      </c>
      <c r="K26">
        <v>3</v>
      </c>
      <c r="L26">
        <v>3</v>
      </c>
      <c r="M26">
        <v>3</v>
      </c>
      <c r="N26">
        <v>3</v>
      </c>
      <c r="O26">
        <v>2</v>
      </c>
      <c r="P26">
        <v>91</v>
      </c>
    </row>
    <row r="27" spans="2:16" x14ac:dyDescent="0.45">
      <c r="B27">
        <v>7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1</v>
      </c>
      <c r="J27">
        <v>3</v>
      </c>
      <c r="K27">
        <v>3</v>
      </c>
      <c r="L27">
        <v>3</v>
      </c>
      <c r="M27">
        <v>3</v>
      </c>
      <c r="N27">
        <v>3</v>
      </c>
      <c r="O27">
        <v>2</v>
      </c>
      <c r="P27">
        <v>91</v>
      </c>
    </row>
    <row r="28" spans="2:16" x14ac:dyDescent="0.45">
      <c r="B28">
        <v>7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1</v>
      </c>
      <c r="J28">
        <v>3</v>
      </c>
      <c r="K28">
        <v>3</v>
      </c>
      <c r="L28">
        <v>3</v>
      </c>
      <c r="M28">
        <v>3</v>
      </c>
      <c r="N28">
        <v>3</v>
      </c>
      <c r="O28">
        <v>2</v>
      </c>
      <c r="P28">
        <v>91</v>
      </c>
    </row>
    <row r="29" spans="2:16" x14ac:dyDescent="0.45">
      <c r="B29">
        <v>7</v>
      </c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1</v>
      </c>
      <c r="J29">
        <v>3</v>
      </c>
      <c r="K29">
        <v>3</v>
      </c>
      <c r="L29">
        <v>3</v>
      </c>
      <c r="M29">
        <v>3</v>
      </c>
      <c r="N29">
        <v>3</v>
      </c>
      <c r="O29">
        <v>2</v>
      </c>
      <c r="P29">
        <v>91</v>
      </c>
    </row>
    <row r="30" spans="2:16" x14ac:dyDescent="0.45">
      <c r="B30">
        <v>8</v>
      </c>
      <c r="C30">
        <v>1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2</v>
      </c>
      <c r="P30">
        <v>91</v>
      </c>
    </row>
    <row r="31" spans="2:16" x14ac:dyDescent="0.45">
      <c r="B31">
        <v>8</v>
      </c>
      <c r="C31">
        <v>2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2</v>
      </c>
      <c r="P31">
        <v>91</v>
      </c>
    </row>
    <row r="32" spans="2:16" x14ac:dyDescent="0.45">
      <c r="B32">
        <v>8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2</v>
      </c>
      <c r="P32">
        <v>91</v>
      </c>
    </row>
    <row r="33" spans="2:16" x14ac:dyDescent="0.45">
      <c r="B33">
        <v>8</v>
      </c>
      <c r="C33">
        <v>4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2</v>
      </c>
      <c r="P33">
        <v>91</v>
      </c>
    </row>
    <row r="34" spans="2:16" x14ac:dyDescent="0.45">
      <c r="B34">
        <v>8</v>
      </c>
      <c r="C34">
        <v>5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2</v>
      </c>
      <c r="P34">
        <v>91</v>
      </c>
    </row>
    <row r="35" spans="2:16" x14ac:dyDescent="0.45">
      <c r="B35">
        <v>9</v>
      </c>
      <c r="C35">
        <v>1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2</v>
      </c>
      <c r="O35">
        <v>3</v>
      </c>
      <c r="P35">
        <v>92</v>
      </c>
    </row>
    <row r="36" spans="2:16" x14ac:dyDescent="0.45">
      <c r="B36">
        <v>9</v>
      </c>
      <c r="C36">
        <v>2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2</v>
      </c>
      <c r="O36">
        <v>3</v>
      </c>
      <c r="P36">
        <v>92</v>
      </c>
    </row>
    <row r="37" spans="2:16" x14ac:dyDescent="0.45">
      <c r="B37">
        <v>9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2</v>
      </c>
      <c r="O37">
        <v>3</v>
      </c>
      <c r="P37">
        <v>92</v>
      </c>
    </row>
    <row r="38" spans="2:16" x14ac:dyDescent="0.45">
      <c r="B38">
        <v>9</v>
      </c>
      <c r="C38">
        <v>4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2</v>
      </c>
      <c r="O38">
        <v>3</v>
      </c>
      <c r="P38">
        <v>92</v>
      </c>
    </row>
    <row r="39" spans="2:16" x14ac:dyDescent="0.45">
      <c r="B39">
        <v>10</v>
      </c>
      <c r="C39">
        <v>1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1</v>
      </c>
      <c r="P39">
        <v>90</v>
      </c>
    </row>
    <row r="40" spans="2:16" x14ac:dyDescent="0.45">
      <c r="B40">
        <v>10</v>
      </c>
      <c r="C40">
        <v>2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1</v>
      </c>
      <c r="P40">
        <v>90</v>
      </c>
    </row>
    <row r="41" spans="2:16" x14ac:dyDescent="0.45">
      <c r="B41">
        <v>10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1</v>
      </c>
      <c r="P41">
        <v>90</v>
      </c>
    </row>
    <row r="42" spans="2:16" x14ac:dyDescent="0.45">
      <c r="B42">
        <v>10</v>
      </c>
      <c r="C42">
        <v>4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1</v>
      </c>
      <c r="P42">
        <v>90</v>
      </c>
    </row>
    <row r="43" spans="2:16" x14ac:dyDescent="0.45">
      <c r="B43">
        <v>11</v>
      </c>
      <c r="C43">
        <v>1</v>
      </c>
      <c r="D43">
        <v>3</v>
      </c>
      <c r="E43">
        <v>3</v>
      </c>
      <c r="F43">
        <v>3</v>
      </c>
      <c r="G43">
        <v>3</v>
      </c>
      <c r="H43">
        <v>3</v>
      </c>
      <c r="I43">
        <v>2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92</v>
      </c>
    </row>
    <row r="44" spans="2:16" x14ac:dyDescent="0.45">
      <c r="B44">
        <v>11</v>
      </c>
      <c r="C44">
        <v>2</v>
      </c>
      <c r="D44">
        <v>3</v>
      </c>
      <c r="E44">
        <v>3</v>
      </c>
      <c r="F44">
        <v>3</v>
      </c>
      <c r="G44">
        <v>3</v>
      </c>
      <c r="H44">
        <v>3</v>
      </c>
      <c r="I44">
        <v>2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92</v>
      </c>
    </row>
    <row r="45" spans="2:16" x14ac:dyDescent="0.45">
      <c r="B45">
        <v>11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2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92</v>
      </c>
    </row>
    <row r="46" spans="2:16" x14ac:dyDescent="0.45">
      <c r="B46">
        <v>11</v>
      </c>
      <c r="C46">
        <v>4</v>
      </c>
      <c r="D46">
        <v>3</v>
      </c>
      <c r="E46">
        <v>3</v>
      </c>
      <c r="F46">
        <v>3</v>
      </c>
      <c r="G46">
        <v>3</v>
      </c>
      <c r="H46">
        <v>3</v>
      </c>
      <c r="I46">
        <v>2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92</v>
      </c>
    </row>
    <row r="47" spans="2:16" x14ac:dyDescent="0.45">
      <c r="B47">
        <v>12</v>
      </c>
      <c r="C47">
        <v>1</v>
      </c>
      <c r="D47">
        <v>3</v>
      </c>
      <c r="E47">
        <v>3</v>
      </c>
      <c r="F47">
        <v>3</v>
      </c>
      <c r="G47">
        <v>3</v>
      </c>
      <c r="H47">
        <v>3</v>
      </c>
      <c r="I47">
        <v>2</v>
      </c>
      <c r="J47">
        <v>3</v>
      </c>
      <c r="K47">
        <v>3</v>
      </c>
      <c r="L47">
        <v>3</v>
      </c>
      <c r="M47">
        <v>2</v>
      </c>
      <c r="N47">
        <v>2</v>
      </c>
      <c r="O47">
        <v>3</v>
      </c>
      <c r="P47">
        <v>85</v>
      </c>
    </row>
    <row r="48" spans="2:16" x14ac:dyDescent="0.45">
      <c r="B48">
        <v>12</v>
      </c>
      <c r="C48">
        <v>2</v>
      </c>
      <c r="D48">
        <v>3</v>
      </c>
      <c r="E48">
        <v>3</v>
      </c>
      <c r="F48">
        <v>3</v>
      </c>
      <c r="G48">
        <v>3</v>
      </c>
      <c r="H48">
        <v>3</v>
      </c>
      <c r="I48">
        <v>2</v>
      </c>
      <c r="J48">
        <v>3</v>
      </c>
      <c r="K48">
        <v>3</v>
      </c>
      <c r="L48">
        <v>3</v>
      </c>
      <c r="M48">
        <v>2</v>
      </c>
      <c r="N48">
        <v>2</v>
      </c>
      <c r="O48">
        <v>3</v>
      </c>
      <c r="P48">
        <v>85</v>
      </c>
    </row>
    <row r="49" spans="2:16" x14ac:dyDescent="0.45">
      <c r="B49">
        <v>12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2</v>
      </c>
      <c r="J49">
        <v>3</v>
      </c>
      <c r="K49">
        <v>3</v>
      </c>
      <c r="L49">
        <v>3</v>
      </c>
      <c r="M49">
        <v>2</v>
      </c>
      <c r="N49">
        <v>2</v>
      </c>
      <c r="O49">
        <v>3</v>
      </c>
      <c r="P49">
        <v>85</v>
      </c>
    </row>
    <row r="50" spans="2:16" x14ac:dyDescent="0.45">
      <c r="B50">
        <v>12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2</v>
      </c>
      <c r="J50">
        <v>3</v>
      </c>
      <c r="K50">
        <v>3</v>
      </c>
      <c r="L50">
        <v>3</v>
      </c>
      <c r="M50">
        <v>2</v>
      </c>
      <c r="N50">
        <v>2</v>
      </c>
      <c r="O50">
        <v>3</v>
      </c>
      <c r="P50">
        <v>85</v>
      </c>
    </row>
    <row r="51" spans="2:16" x14ac:dyDescent="0.45">
      <c r="B51">
        <v>12</v>
      </c>
      <c r="C51">
        <v>5</v>
      </c>
      <c r="D51">
        <v>3</v>
      </c>
      <c r="E51">
        <v>3</v>
      </c>
      <c r="F51">
        <v>3</v>
      </c>
      <c r="G51">
        <v>3</v>
      </c>
      <c r="H51">
        <v>3</v>
      </c>
      <c r="I51">
        <v>2</v>
      </c>
      <c r="J51">
        <v>3</v>
      </c>
      <c r="K51">
        <v>3</v>
      </c>
      <c r="L51">
        <v>3</v>
      </c>
      <c r="M51">
        <v>2</v>
      </c>
      <c r="N51">
        <v>2</v>
      </c>
      <c r="O51">
        <v>3</v>
      </c>
      <c r="P51">
        <v>85</v>
      </c>
    </row>
    <row r="52" spans="2:16" x14ac:dyDescent="0.45">
      <c r="B52">
        <v>13</v>
      </c>
      <c r="C52">
        <v>1</v>
      </c>
      <c r="D52">
        <v>3</v>
      </c>
      <c r="E52">
        <v>3</v>
      </c>
      <c r="F52">
        <v>2</v>
      </c>
      <c r="G52">
        <v>3</v>
      </c>
      <c r="H52">
        <v>3</v>
      </c>
      <c r="I52">
        <v>2</v>
      </c>
      <c r="J52">
        <v>3</v>
      </c>
      <c r="K52">
        <v>2</v>
      </c>
      <c r="L52">
        <v>3</v>
      </c>
      <c r="M52">
        <v>3</v>
      </c>
      <c r="N52">
        <v>3</v>
      </c>
      <c r="O52">
        <v>3</v>
      </c>
      <c r="P52">
        <v>90</v>
      </c>
    </row>
    <row r="53" spans="2:16" x14ac:dyDescent="0.45">
      <c r="B53">
        <v>13</v>
      </c>
      <c r="C53">
        <v>2</v>
      </c>
      <c r="D53">
        <v>3</v>
      </c>
      <c r="E53">
        <v>3</v>
      </c>
      <c r="F53">
        <v>2</v>
      </c>
      <c r="G53">
        <v>3</v>
      </c>
      <c r="H53">
        <v>3</v>
      </c>
      <c r="I53">
        <v>2</v>
      </c>
      <c r="J53">
        <v>3</v>
      </c>
      <c r="K53">
        <v>2</v>
      </c>
      <c r="L53">
        <v>3</v>
      </c>
      <c r="M53">
        <v>3</v>
      </c>
      <c r="N53">
        <v>3</v>
      </c>
      <c r="O53">
        <v>3</v>
      </c>
      <c r="P53">
        <v>90</v>
      </c>
    </row>
    <row r="54" spans="2:16" x14ac:dyDescent="0.45">
      <c r="B54">
        <v>13</v>
      </c>
      <c r="C54">
        <v>3</v>
      </c>
      <c r="D54">
        <v>3</v>
      </c>
      <c r="E54">
        <v>3</v>
      </c>
      <c r="F54">
        <v>2</v>
      </c>
      <c r="G54">
        <v>3</v>
      </c>
      <c r="H54">
        <v>3</v>
      </c>
      <c r="I54">
        <v>2</v>
      </c>
      <c r="J54">
        <v>3</v>
      </c>
      <c r="K54">
        <v>2</v>
      </c>
      <c r="L54">
        <v>3</v>
      </c>
      <c r="M54">
        <v>3</v>
      </c>
      <c r="N54">
        <v>3</v>
      </c>
      <c r="O54">
        <v>3</v>
      </c>
      <c r="P54">
        <v>90</v>
      </c>
    </row>
    <row r="55" spans="2:16" x14ac:dyDescent="0.45">
      <c r="B55">
        <v>13</v>
      </c>
      <c r="C55">
        <v>4</v>
      </c>
      <c r="D55">
        <v>3</v>
      </c>
      <c r="E55">
        <v>3</v>
      </c>
      <c r="F55">
        <v>2</v>
      </c>
      <c r="G55">
        <v>3</v>
      </c>
      <c r="H55">
        <v>3</v>
      </c>
      <c r="I55">
        <v>2</v>
      </c>
      <c r="J55">
        <v>3</v>
      </c>
      <c r="K55">
        <v>2</v>
      </c>
      <c r="L55">
        <v>3</v>
      </c>
      <c r="M55">
        <v>3</v>
      </c>
      <c r="N55">
        <v>3</v>
      </c>
      <c r="O55">
        <v>3</v>
      </c>
      <c r="P55">
        <v>90</v>
      </c>
    </row>
    <row r="56" spans="2:16" x14ac:dyDescent="0.45">
      <c r="B56">
        <v>13</v>
      </c>
      <c r="C56">
        <v>5</v>
      </c>
      <c r="D56">
        <v>3</v>
      </c>
      <c r="E56">
        <v>3</v>
      </c>
      <c r="F56">
        <v>2</v>
      </c>
      <c r="G56">
        <v>3</v>
      </c>
      <c r="H56">
        <v>3</v>
      </c>
      <c r="I56">
        <v>2</v>
      </c>
      <c r="J56">
        <v>3</v>
      </c>
      <c r="K56">
        <v>2</v>
      </c>
      <c r="L56">
        <v>3</v>
      </c>
      <c r="M56">
        <v>3</v>
      </c>
      <c r="N56">
        <v>3</v>
      </c>
      <c r="O56">
        <v>3</v>
      </c>
      <c r="P56">
        <v>90</v>
      </c>
    </row>
    <row r="57" spans="2:16" x14ac:dyDescent="0.45">
      <c r="B57">
        <v>14</v>
      </c>
      <c r="C57">
        <v>1</v>
      </c>
      <c r="D57">
        <v>3</v>
      </c>
      <c r="E57">
        <v>3</v>
      </c>
      <c r="F57">
        <v>3</v>
      </c>
      <c r="G57">
        <v>3</v>
      </c>
      <c r="H57">
        <v>3</v>
      </c>
      <c r="I57">
        <v>2</v>
      </c>
      <c r="J57">
        <v>3</v>
      </c>
      <c r="K57">
        <v>3</v>
      </c>
      <c r="L57">
        <v>3</v>
      </c>
      <c r="M57">
        <v>3</v>
      </c>
      <c r="N57">
        <v>2</v>
      </c>
      <c r="O57">
        <v>3</v>
      </c>
      <c r="P57">
        <v>86</v>
      </c>
    </row>
    <row r="58" spans="2:16" x14ac:dyDescent="0.45">
      <c r="B58">
        <v>14</v>
      </c>
      <c r="C58">
        <v>2</v>
      </c>
      <c r="D58">
        <v>3</v>
      </c>
      <c r="E58">
        <v>3</v>
      </c>
      <c r="F58">
        <v>3</v>
      </c>
      <c r="G58">
        <v>3</v>
      </c>
      <c r="H58">
        <v>3</v>
      </c>
      <c r="I58">
        <v>2</v>
      </c>
      <c r="J58">
        <v>3</v>
      </c>
      <c r="K58">
        <v>3</v>
      </c>
      <c r="L58">
        <v>3</v>
      </c>
      <c r="M58">
        <v>3</v>
      </c>
      <c r="N58">
        <v>2</v>
      </c>
      <c r="O58">
        <v>3</v>
      </c>
      <c r="P58">
        <v>86</v>
      </c>
    </row>
    <row r="59" spans="2:16" x14ac:dyDescent="0.45">
      <c r="B59">
        <v>14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2</v>
      </c>
      <c r="J59">
        <v>3</v>
      </c>
      <c r="K59">
        <v>3</v>
      </c>
      <c r="L59">
        <v>3</v>
      </c>
      <c r="M59">
        <v>3</v>
      </c>
      <c r="N59">
        <v>2</v>
      </c>
      <c r="O59">
        <v>3</v>
      </c>
      <c r="P59">
        <v>86</v>
      </c>
    </row>
    <row r="60" spans="2:16" x14ac:dyDescent="0.45">
      <c r="B60">
        <v>14</v>
      </c>
      <c r="C60">
        <v>4</v>
      </c>
      <c r="D60">
        <v>3</v>
      </c>
      <c r="E60">
        <v>3</v>
      </c>
      <c r="F60">
        <v>3</v>
      </c>
      <c r="G60">
        <v>3</v>
      </c>
      <c r="H60">
        <v>3</v>
      </c>
      <c r="I60">
        <v>2</v>
      </c>
      <c r="J60">
        <v>3</v>
      </c>
      <c r="K60">
        <v>3</v>
      </c>
      <c r="L60">
        <v>3</v>
      </c>
      <c r="M60">
        <v>3</v>
      </c>
      <c r="N60">
        <v>2</v>
      </c>
      <c r="O60">
        <v>3</v>
      </c>
      <c r="P60">
        <v>86</v>
      </c>
    </row>
    <row r="61" spans="2:16" x14ac:dyDescent="0.45">
      <c r="B61">
        <v>15</v>
      </c>
      <c r="C61">
        <v>1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96</v>
      </c>
    </row>
    <row r="62" spans="2:16" x14ac:dyDescent="0.45">
      <c r="B62">
        <v>15</v>
      </c>
      <c r="C62">
        <v>2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96</v>
      </c>
    </row>
    <row r="63" spans="2:16" x14ac:dyDescent="0.45">
      <c r="B63">
        <v>15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96</v>
      </c>
    </row>
    <row r="64" spans="2:16" x14ac:dyDescent="0.45">
      <c r="B64">
        <v>15</v>
      </c>
      <c r="C64">
        <v>4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96</v>
      </c>
    </row>
    <row r="65" spans="2:16" x14ac:dyDescent="0.45">
      <c r="B65">
        <v>16</v>
      </c>
      <c r="C65">
        <v>1</v>
      </c>
      <c r="D65">
        <v>2</v>
      </c>
      <c r="E65">
        <v>3</v>
      </c>
      <c r="F65">
        <v>3</v>
      </c>
      <c r="G65">
        <v>3</v>
      </c>
      <c r="H65">
        <v>2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2</v>
      </c>
      <c r="P65">
        <v>88</v>
      </c>
    </row>
    <row r="66" spans="2:16" x14ac:dyDescent="0.45">
      <c r="B66">
        <v>16</v>
      </c>
      <c r="C66">
        <v>2</v>
      </c>
      <c r="D66">
        <v>2</v>
      </c>
      <c r="E66">
        <v>3</v>
      </c>
      <c r="F66">
        <v>3</v>
      </c>
      <c r="G66">
        <v>3</v>
      </c>
      <c r="H66">
        <v>2</v>
      </c>
      <c r="I66">
        <v>3</v>
      </c>
      <c r="J66">
        <v>3</v>
      </c>
      <c r="K66">
        <v>3</v>
      </c>
      <c r="L66">
        <v>3</v>
      </c>
      <c r="M66">
        <v>3</v>
      </c>
      <c r="N66">
        <v>3</v>
      </c>
      <c r="O66">
        <v>2</v>
      </c>
      <c r="P66">
        <v>88</v>
      </c>
    </row>
    <row r="67" spans="2:16" x14ac:dyDescent="0.45">
      <c r="B67">
        <v>16</v>
      </c>
      <c r="C67">
        <v>3</v>
      </c>
      <c r="D67">
        <v>2</v>
      </c>
      <c r="E67">
        <v>3</v>
      </c>
      <c r="F67">
        <v>3</v>
      </c>
      <c r="G67">
        <v>3</v>
      </c>
      <c r="H67">
        <v>2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2</v>
      </c>
      <c r="P67">
        <v>88</v>
      </c>
    </row>
    <row r="68" spans="2:16" x14ac:dyDescent="0.45">
      <c r="B68">
        <v>16</v>
      </c>
      <c r="C68">
        <v>4</v>
      </c>
      <c r="D68">
        <v>2</v>
      </c>
      <c r="E68">
        <v>3</v>
      </c>
      <c r="F68">
        <v>3</v>
      </c>
      <c r="G68">
        <v>3</v>
      </c>
      <c r="H68">
        <v>2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2</v>
      </c>
      <c r="P68">
        <v>88</v>
      </c>
    </row>
    <row r="69" spans="2:16" x14ac:dyDescent="0.45">
      <c r="B69">
        <v>17</v>
      </c>
      <c r="C69">
        <v>1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2</v>
      </c>
      <c r="P69">
        <v>92</v>
      </c>
    </row>
    <row r="70" spans="2:16" x14ac:dyDescent="0.45">
      <c r="B70">
        <v>17</v>
      </c>
      <c r="C70">
        <v>2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2</v>
      </c>
      <c r="P70">
        <v>92</v>
      </c>
    </row>
    <row r="71" spans="2:16" x14ac:dyDescent="0.45">
      <c r="B71">
        <v>17</v>
      </c>
      <c r="C71">
        <v>3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2</v>
      </c>
      <c r="P71">
        <v>92</v>
      </c>
    </row>
    <row r="72" spans="2:16" x14ac:dyDescent="0.45">
      <c r="B72">
        <v>17</v>
      </c>
      <c r="C72">
        <v>4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2</v>
      </c>
      <c r="P72">
        <v>92</v>
      </c>
    </row>
    <row r="74" spans="2:16" x14ac:dyDescent="0.45">
      <c r="B74" t="s">
        <v>15</v>
      </c>
    </row>
    <row r="75" spans="2:16" x14ac:dyDescent="0.45">
      <c r="B75" s="1" t="s">
        <v>16</v>
      </c>
      <c r="D75" s="2" t="s">
        <v>2</v>
      </c>
      <c r="E75" s="2" t="s">
        <v>3</v>
      </c>
      <c r="F75" s="2" t="s">
        <v>4</v>
      </c>
      <c r="G75" s="2" t="s">
        <v>5</v>
      </c>
      <c r="H75" s="2" t="s">
        <v>6</v>
      </c>
      <c r="I75" s="2" t="s">
        <v>7</v>
      </c>
      <c r="J75" s="2" t="s">
        <v>8</v>
      </c>
      <c r="K75" s="2" t="s">
        <v>9</v>
      </c>
      <c r="L75" s="2" t="s">
        <v>10</v>
      </c>
      <c r="M75" s="2" t="s">
        <v>11</v>
      </c>
      <c r="N75" s="2" t="s">
        <v>12</v>
      </c>
      <c r="O75" s="2" t="s">
        <v>13</v>
      </c>
    </row>
    <row r="76" spans="2:16" x14ac:dyDescent="0.45">
      <c r="B76" s="1" t="s">
        <v>17</v>
      </c>
      <c r="D76" s="3">
        <v>3</v>
      </c>
      <c r="E76" s="3">
        <v>3</v>
      </c>
      <c r="F76" s="3">
        <v>3</v>
      </c>
      <c r="G76" s="3">
        <v>3</v>
      </c>
      <c r="H76" s="3">
        <v>3</v>
      </c>
      <c r="I76" s="3">
        <v>3</v>
      </c>
      <c r="J76" s="3" t="s">
        <v>18</v>
      </c>
      <c r="K76" s="3" t="s">
        <v>18</v>
      </c>
      <c r="L76" s="3" t="s">
        <v>18</v>
      </c>
      <c r="M76" s="3" t="s">
        <v>18</v>
      </c>
      <c r="N76" s="3" t="s">
        <v>18</v>
      </c>
      <c r="O76" s="3" t="s">
        <v>18</v>
      </c>
    </row>
    <row r="77" spans="2:16" x14ac:dyDescent="0.45">
      <c r="B77" s="1" t="s">
        <v>19</v>
      </c>
      <c r="D77" s="4">
        <f>AVERAGE(Table73[Clarity of Report])</f>
        <v>2.943661971830986</v>
      </c>
      <c r="E77" s="4">
        <f>AVERAGE(Table73[Report Formatting])</f>
        <v>3</v>
      </c>
      <c r="F77" s="4">
        <f>AVERAGE(Table73[Project Charter/ Design Plan])</f>
        <v>2.816901408450704</v>
      </c>
      <c r="G77" s="4">
        <f>AVERAGE(Table73[Clarity/Relevance/Heading/Numbering of Figures/Tables])</f>
        <v>3</v>
      </c>
      <c r="H77" s="4">
        <f>AVERAGE(Table73[Referencing])</f>
        <v>2.943661971830986</v>
      </c>
      <c r="I77" s="4">
        <f>AVERAGE(Table73[Significant Figures])</f>
        <v>2.408450704225352</v>
      </c>
      <c r="J77" s="4">
        <f>AVERAGE(Table73[Capital Cost])</f>
        <v>3</v>
      </c>
      <c r="K77" s="4">
        <f>AVERAGE(Table73[Equipment cost (hand vs Aspen)/ Discussion])</f>
        <v>2.8732394366197185</v>
      </c>
      <c r="L77" s="4">
        <f>AVERAGE(Table73[VCOP/FCOP/Revenue])</f>
        <v>3</v>
      </c>
      <c r="M77" s="4">
        <f>AVERAGE(Table73[Simple Payback, ROI, DCFROR])</f>
        <v>2.9295774647887325</v>
      </c>
      <c r="N77" s="4">
        <f>AVERAGE(Table73[NPV])</f>
        <v>2.647887323943662</v>
      </c>
      <c r="O77" s="4">
        <f>AVERAGE(Table73[Sensitivity Analysis/ Discussion])</f>
        <v>2.4225352112676055</v>
      </c>
    </row>
    <row r="78" spans="2:16" x14ac:dyDescent="0.45">
      <c r="B78" s="1" t="s">
        <v>20</v>
      </c>
      <c r="D78" s="3">
        <f>STDEV(Table73[Clarity of Report])</f>
        <v>0.23221442945580476</v>
      </c>
      <c r="E78" s="3">
        <f>STDEV(Table73[Report Formatting])</f>
        <v>0</v>
      </c>
      <c r="F78" s="3">
        <f>STDEV(Table73[Project Charter/ Design Plan])</f>
        <v>0.51574797707323228</v>
      </c>
      <c r="G78" s="3">
        <f>STDEV(Table73[Clarity/Relevance/Heading/Numbering of Figures/Tables])</f>
        <v>0</v>
      </c>
      <c r="H78" s="3">
        <f>STDEV(Table73[Referencing])</f>
        <v>0.23221442945580476</v>
      </c>
      <c r="I78" s="3">
        <f>STDEV(Table73[Significant Figures])</f>
        <v>0.59946320722870494</v>
      </c>
      <c r="J78" s="3">
        <f>STDEV(Table73[Capital Cost])</f>
        <v>0</v>
      </c>
      <c r="K78" s="3">
        <f>STDEV(Table73[Equipment cost (hand vs Aspen)/ Discussion])</f>
        <v>0.33507259191271782</v>
      </c>
      <c r="L78" s="3">
        <f>STDEV(Table73[VCOP/FCOP/Revenue])</f>
        <v>0</v>
      </c>
      <c r="M78" s="3">
        <f>STDEV(Table73[Simple Payback, ROI, DCFROR])</f>
        <v>0.25767885117341788</v>
      </c>
      <c r="N78" s="3">
        <f>STDEV(Table73[NPV])</f>
        <v>0.58794051082196541</v>
      </c>
      <c r="O78" s="3">
        <f>STDEV(Table73[Sensitivity Analysis/ Discussion])</f>
        <v>0.68996836016455787</v>
      </c>
    </row>
    <row r="80" spans="2:16" x14ac:dyDescent="0.45">
      <c r="B80" s="1" t="s">
        <v>21</v>
      </c>
      <c r="D80" s="1">
        <f>AVERAGE(D77:O77)</f>
        <v>2.8321596244131459</v>
      </c>
    </row>
    <row r="81" spans="2:4" x14ac:dyDescent="0.45">
      <c r="B81" s="1" t="s">
        <v>22</v>
      </c>
      <c r="D81" s="1">
        <f>AVERAGE(J77:O77)</f>
        <v>2.8122065727699526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77"/>
  <sheetViews>
    <sheetView tabSelected="1" topLeftCell="A49" workbookViewId="0">
      <selection activeCell="D77" sqref="D77"/>
    </sheetView>
  </sheetViews>
  <sheetFormatPr defaultColWidth="10.85546875" defaultRowHeight="15.9" x14ac:dyDescent="0.45"/>
  <cols>
    <col min="2" max="16" width="9" customWidth="1"/>
  </cols>
  <sheetData>
    <row r="1" spans="2:1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x14ac:dyDescent="0.45">
      <c r="B2">
        <v>1</v>
      </c>
      <c r="C2">
        <v>1</v>
      </c>
      <c r="D2">
        <v>3</v>
      </c>
      <c r="E2">
        <v>3</v>
      </c>
      <c r="F2">
        <v>3</v>
      </c>
      <c r="G2">
        <v>3</v>
      </c>
      <c r="H2">
        <v>3</v>
      </c>
      <c r="I2">
        <v>2</v>
      </c>
      <c r="J2">
        <v>3</v>
      </c>
      <c r="K2">
        <v>3</v>
      </c>
      <c r="L2">
        <v>3</v>
      </c>
      <c r="M2">
        <v>3</v>
      </c>
      <c r="N2">
        <v>1</v>
      </c>
      <c r="O2">
        <v>2</v>
      </c>
      <c r="P2">
        <v>83</v>
      </c>
    </row>
    <row r="3" spans="2:16" x14ac:dyDescent="0.45">
      <c r="B3">
        <v>1</v>
      </c>
      <c r="C3">
        <v>2</v>
      </c>
      <c r="D3">
        <v>3</v>
      </c>
      <c r="E3">
        <v>3</v>
      </c>
      <c r="F3">
        <v>3</v>
      </c>
      <c r="G3">
        <v>3</v>
      </c>
      <c r="H3">
        <v>3</v>
      </c>
      <c r="I3">
        <v>2</v>
      </c>
      <c r="J3">
        <v>3</v>
      </c>
      <c r="K3">
        <v>3</v>
      </c>
      <c r="L3">
        <v>3</v>
      </c>
      <c r="M3">
        <v>3</v>
      </c>
      <c r="N3">
        <v>1</v>
      </c>
      <c r="O3">
        <v>2</v>
      </c>
      <c r="P3">
        <v>83</v>
      </c>
    </row>
    <row r="4" spans="2:16" x14ac:dyDescent="0.45">
      <c r="B4">
        <v>1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2</v>
      </c>
      <c r="J4">
        <v>3</v>
      </c>
      <c r="K4">
        <v>3</v>
      </c>
      <c r="L4">
        <v>3</v>
      </c>
      <c r="M4">
        <v>3</v>
      </c>
      <c r="N4">
        <v>1</v>
      </c>
      <c r="O4">
        <v>2</v>
      </c>
      <c r="P4">
        <v>83</v>
      </c>
    </row>
    <row r="5" spans="2:16" x14ac:dyDescent="0.45">
      <c r="B5">
        <v>1</v>
      </c>
      <c r="C5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2</v>
      </c>
      <c r="J5">
        <v>3</v>
      </c>
      <c r="K5">
        <v>3</v>
      </c>
      <c r="L5">
        <v>3</v>
      </c>
      <c r="M5">
        <v>3</v>
      </c>
      <c r="N5">
        <v>1</v>
      </c>
      <c r="O5">
        <v>2</v>
      </c>
      <c r="P5">
        <v>83</v>
      </c>
    </row>
    <row r="6" spans="2:16" x14ac:dyDescent="0.45">
      <c r="B6">
        <v>2</v>
      </c>
      <c r="C6">
        <v>1</v>
      </c>
      <c r="D6">
        <v>3</v>
      </c>
      <c r="E6">
        <v>3</v>
      </c>
      <c r="F6">
        <v>3</v>
      </c>
      <c r="G6">
        <v>3</v>
      </c>
      <c r="H6">
        <v>3</v>
      </c>
      <c r="I6">
        <v>2</v>
      </c>
      <c r="J6">
        <v>3</v>
      </c>
      <c r="K6">
        <v>3</v>
      </c>
      <c r="L6">
        <v>3</v>
      </c>
      <c r="M6">
        <v>3</v>
      </c>
      <c r="N6">
        <v>3</v>
      </c>
      <c r="O6">
        <v>2</v>
      </c>
      <c r="P6">
        <v>92</v>
      </c>
    </row>
    <row r="7" spans="2:16" x14ac:dyDescent="0.45">
      <c r="B7">
        <v>2</v>
      </c>
      <c r="C7">
        <v>2</v>
      </c>
      <c r="D7">
        <v>3</v>
      </c>
      <c r="E7">
        <v>3</v>
      </c>
      <c r="F7">
        <v>3</v>
      </c>
      <c r="G7">
        <v>3</v>
      </c>
      <c r="H7">
        <v>3</v>
      </c>
      <c r="I7">
        <v>2</v>
      </c>
      <c r="J7">
        <v>3</v>
      </c>
      <c r="K7">
        <v>3</v>
      </c>
      <c r="L7">
        <v>3</v>
      </c>
      <c r="M7">
        <v>3</v>
      </c>
      <c r="N7">
        <v>3</v>
      </c>
      <c r="O7">
        <v>2</v>
      </c>
      <c r="P7">
        <v>92</v>
      </c>
    </row>
    <row r="8" spans="2:16" x14ac:dyDescent="0.45">
      <c r="B8">
        <v>2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2</v>
      </c>
      <c r="J8">
        <v>3</v>
      </c>
      <c r="K8">
        <v>3</v>
      </c>
      <c r="L8">
        <v>3</v>
      </c>
      <c r="M8">
        <v>3</v>
      </c>
      <c r="N8">
        <v>3</v>
      </c>
      <c r="O8">
        <v>2</v>
      </c>
      <c r="P8">
        <v>92</v>
      </c>
    </row>
    <row r="9" spans="2:16" x14ac:dyDescent="0.45">
      <c r="B9">
        <v>2</v>
      </c>
      <c r="C9">
        <v>4</v>
      </c>
      <c r="D9">
        <v>3</v>
      </c>
      <c r="E9">
        <v>3</v>
      </c>
      <c r="F9">
        <v>3</v>
      </c>
      <c r="G9">
        <v>3</v>
      </c>
      <c r="H9">
        <v>3</v>
      </c>
      <c r="I9">
        <v>2</v>
      </c>
      <c r="J9">
        <v>3</v>
      </c>
      <c r="K9">
        <v>3</v>
      </c>
      <c r="L9">
        <v>3</v>
      </c>
      <c r="M9">
        <v>3</v>
      </c>
      <c r="N9">
        <v>3</v>
      </c>
      <c r="O9">
        <v>2</v>
      </c>
      <c r="P9">
        <v>92</v>
      </c>
    </row>
    <row r="10" spans="2:16" x14ac:dyDescent="0.45">
      <c r="B10">
        <v>3</v>
      </c>
      <c r="C10">
        <v>1</v>
      </c>
      <c r="D10">
        <v>3</v>
      </c>
      <c r="E10">
        <v>3</v>
      </c>
      <c r="F10">
        <v>3</v>
      </c>
      <c r="G10">
        <v>3</v>
      </c>
      <c r="H10">
        <v>3</v>
      </c>
      <c r="I10">
        <v>2</v>
      </c>
      <c r="J10">
        <v>3</v>
      </c>
      <c r="K10">
        <v>3</v>
      </c>
      <c r="L10">
        <v>3</v>
      </c>
      <c r="M10">
        <v>3</v>
      </c>
      <c r="N10">
        <v>3</v>
      </c>
      <c r="O10">
        <v>2</v>
      </c>
      <c r="P10">
        <v>93</v>
      </c>
    </row>
    <row r="11" spans="2:16" x14ac:dyDescent="0.45">
      <c r="B11">
        <v>3</v>
      </c>
      <c r="C11">
        <v>2</v>
      </c>
      <c r="D11">
        <v>3</v>
      </c>
      <c r="E11">
        <v>3</v>
      </c>
      <c r="F11">
        <v>3</v>
      </c>
      <c r="G11">
        <v>3</v>
      </c>
      <c r="H11">
        <v>3</v>
      </c>
      <c r="I11">
        <v>2</v>
      </c>
      <c r="J11">
        <v>3</v>
      </c>
      <c r="K11">
        <v>3</v>
      </c>
      <c r="L11">
        <v>3</v>
      </c>
      <c r="M11">
        <v>3</v>
      </c>
      <c r="N11">
        <v>3</v>
      </c>
      <c r="O11">
        <v>2</v>
      </c>
      <c r="P11">
        <v>93</v>
      </c>
    </row>
    <row r="12" spans="2:16" x14ac:dyDescent="0.45"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2</v>
      </c>
      <c r="J12">
        <v>3</v>
      </c>
      <c r="K12">
        <v>3</v>
      </c>
      <c r="L12">
        <v>3</v>
      </c>
      <c r="M12">
        <v>3</v>
      </c>
      <c r="N12">
        <v>3</v>
      </c>
      <c r="O12">
        <v>2</v>
      </c>
      <c r="P12">
        <v>93</v>
      </c>
    </row>
    <row r="13" spans="2:16" x14ac:dyDescent="0.45">
      <c r="B13">
        <v>3</v>
      </c>
      <c r="C13">
        <v>4</v>
      </c>
      <c r="D13">
        <v>3</v>
      </c>
      <c r="E13">
        <v>3</v>
      </c>
      <c r="F13">
        <v>3</v>
      </c>
      <c r="G13">
        <v>3</v>
      </c>
      <c r="H13">
        <v>3</v>
      </c>
      <c r="I13">
        <v>2</v>
      </c>
      <c r="J13">
        <v>3</v>
      </c>
      <c r="K13">
        <v>3</v>
      </c>
      <c r="L13">
        <v>3</v>
      </c>
      <c r="M13">
        <v>3</v>
      </c>
      <c r="N13">
        <v>3</v>
      </c>
      <c r="O13">
        <v>2</v>
      </c>
      <c r="P13">
        <v>93</v>
      </c>
    </row>
    <row r="14" spans="2:16" x14ac:dyDescent="0.45">
      <c r="B14">
        <v>4</v>
      </c>
      <c r="C14">
        <v>1</v>
      </c>
      <c r="D14">
        <v>3</v>
      </c>
      <c r="E14">
        <v>3</v>
      </c>
      <c r="F14">
        <v>3</v>
      </c>
      <c r="G14">
        <v>3</v>
      </c>
      <c r="H14">
        <v>3</v>
      </c>
      <c r="I14">
        <v>2</v>
      </c>
      <c r="J14">
        <v>3</v>
      </c>
      <c r="K14">
        <v>3</v>
      </c>
      <c r="L14">
        <v>3</v>
      </c>
      <c r="M14">
        <v>3</v>
      </c>
      <c r="N14">
        <v>3</v>
      </c>
      <c r="O14">
        <v>2</v>
      </c>
      <c r="P14">
        <v>92</v>
      </c>
    </row>
    <row r="15" spans="2:16" x14ac:dyDescent="0.45">
      <c r="B15">
        <v>4</v>
      </c>
      <c r="C15">
        <v>2</v>
      </c>
      <c r="D15">
        <v>3</v>
      </c>
      <c r="E15">
        <v>3</v>
      </c>
      <c r="F15">
        <v>3</v>
      </c>
      <c r="G15">
        <v>3</v>
      </c>
      <c r="H15">
        <v>3</v>
      </c>
      <c r="I15">
        <v>2</v>
      </c>
      <c r="J15">
        <v>3</v>
      </c>
      <c r="K15">
        <v>3</v>
      </c>
      <c r="L15">
        <v>3</v>
      </c>
      <c r="M15">
        <v>3</v>
      </c>
      <c r="N15">
        <v>3</v>
      </c>
      <c r="O15">
        <v>2</v>
      </c>
      <c r="P15">
        <v>92</v>
      </c>
    </row>
    <row r="16" spans="2:16" x14ac:dyDescent="0.45">
      <c r="B16">
        <v>4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2</v>
      </c>
      <c r="J16">
        <v>3</v>
      </c>
      <c r="K16">
        <v>3</v>
      </c>
      <c r="L16">
        <v>3</v>
      </c>
      <c r="M16">
        <v>3</v>
      </c>
      <c r="N16">
        <v>3</v>
      </c>
      <c r="O16">
        <v>2</v>
      </c>
      <c r="P16">
        <v>92</v>
      </c>
    </row>
    <row r="17" spans="2:16" x14ac:dyDescent="0.45">
      <c r="B17">
        <v>4</v>
      </c>
      <c r="C17">
        <v>4</v>
      </c>
      <c r="D17">
        <v>3</v>
      </c>
      <c r="E17">
        <v>3</v>
      </c>
      <c r="F17">
        <v>3</v>
      </c>
      <c r="G17">
        <v>3</v>
      </c>
      <c r="H17">
        <v>3</v>
      </c>
      <c r="I17">
        <v>2</v>
      </c>
      <c r="J17">
        <v>3</v>
      </c>
      <c r="K17">
        <v>3</v>
      </c>
      <c r="L17">
        <v>3</v>
      </c>
      <c r="M17">
        <v>3</v>
      </c>
      <c r="N17">
        <v>3</v>
      </c>
      <c r="O17">
        <v>2</v>
      </c>
      <c r="P17">
        <v>92</v>
      </c>
    </row>
    <row r="18" spans="2:16" x14ac:dyDescent="0.45">
      <c r="B18">
        <v>5</v>
      </c>
      <c r="C18">
        <v>1</v>
      </c>
      <c r="D18">
        <v>3</v>
      </c>
      <c r="E18">
        <v>3</v>
      </c>
      <c r="F18">
        <v>3</v>
      </c>
      <c r="G18">
        <v>3</v>
      </c>
      <c r="H18">
        <v>3</v>
      </c>
      <c r="I18">
        <v>2</v>
      </c>
      <c r="J18">
        <v>3</v>
      </c>
      <c r="K18">
        <v>3</v>
      </c>
      <c r="L18">
        <v>3</v>
      </c>
      <c r="M18">
        <v>3</v>
      </c>
      <c r="N18">
        <v>2</v>
      </c>
      <c r="O18">
        <v>3</v>
      </c>
      <c r="P18">
        <v>89</v>
      </c>
    </row>
    <row r="19" spans="2:16" x14ac:dyDescent="0.45">
      <c r="B19">
        <v>5</v>
      </c>
      <c r="C19">
        <v>2</v>
      </c>
      <c r="D19">
        <v>3</v>
      </c>
      <c r="E19">
        <v>3</v>
      </c>
      <c r="F19">
        <v>3</v>
      </c>
      <c r="G19">
        <v>3</v>
      </c>
      <c r="H19">
        <v>3</v>
      </c>
      <c r="I19">
        <v>2</v>
      </c>
      <c r="J19">
        <v>3</v>
      </c>
      <c r="K19">
        <v>3</v>
      </c>
      <c r="L19">
        <v>3</v>
      </c>
      <c r="M19">
        <v>3</v>
      </c>
      <c r="N19">
        <v>2</v>
      </c>
      <c r="O19">
        <v>3</v>
      </c>
      <c r="P19">
        <v>89</v>
      </c>
    </row>
    <row r="20" spans="2:16" x14ac:dyDescent="0.45">
      <c r="B20">
        <v>5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2</v>
      </c>
      <c r="J20">
        <v>3</v>
      </c>
      <c r="K20">
        <v>3</v>
      </c>
      <c r="L20">
        <v>3</v>
      </c>
      <c r="M20">
        <v>3</v>
      </c>
      <c r="N20">
        <v>2</v>
      </c>
      <c r="O20">
        <v>3</v>
      </c>
      <c r="P20">
        <v>89</v>
      </c>
    </row>
    <row r="21" spans="2:16" x14ac:dyDescent="0.45">
      <c r="B21">
        <v>5</v>
      </c>
      <c r="C21">
        <v>4</v>
      </c>
      <c r="D21">
        <v>3</v>
      </c>
      <c r="E21">
        <v>3</v>
      </c>
      <c r="F21">
        <v>3</v>
      </c>
      <c r="G21">
        <v>3</v>
      </c>
      <c r="H21">
        <v>3</v>
      </c>
      <c r="I21">
        <v>2</v>
      </c>
      <c r="J21">
        <v>3</v>
      </c>
      <c r="K21">
        <v>3</v>
      </c>
      <c r="L21">
        <v>3</v>
      </c>
      <c r="M21">
        <v>3</v>
      </c>
      <c r="N21">
        <v>2</v>
      </c>
      <c r="O21">
        <v>3</v>
      </c>
      <c r="P21">
        <v>89</v>
      </c>
    </row>
    <row r="22" spans="2:16" x14ac:dyDescent="0.45">
      <c r="B22">
        <v>6</v>
      </c>
      <c r="C22">
        <v>1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1</v>
      </c>
      <c r="O22">
        <v>3</v>
      </c>
      <c r="P22">
        <v>88</v>
      </c>
    </row>
    <row r="23" spans="2:16" x14ac:dyDescent="0.45">
      <c r="B23">
        <v>6</v>
      </c>
      <c r="C23">
        <v>2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1</v>
      </c>
      <c r="O23">
        <v>3</v>
      </c>
      <c r="P23">
        <v>88</v>
      </c>
    </row>
    <row r="24" spans="2:16" x14ac:dyDescent="0.45">
      <c r="B24">
        <v>6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1</v>
      </c>
      <c r="O24">
        <v>3</v>
      </c>
      <c r="P24">
        <v>88</v>
      </c>
    </row>
    <row r="25" spans="2:16" x14ac:dyDescent="0.45">
      <c r="B25">
        <v>6</v>
      </c>
      <c r="C25">
        <v>4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1</v>
      </c>
      <c r="O25">
        <v>3</v>
      </c>
      <c r="P25">
        <v>88</v>
      </c>
    </row>
    <row r="26" spans="2:16" x14ac:dyDescent="0.45">
      <c r="B26">
        <v>7</v>
      </c>
      <c r="C26">
        <v>1</v>
      </c>
      <c r="D26">
        <v>3</v>
      </c>
      <c r="E26">
        <v>3</v>
      </c>
      <c r="F26">
        <v>3</v>
      </c>
      <c r="G26">
        <v>3</v>
      </c>
      <c r="H26">
        <v>3</v>
      </c>
      <c r="I26">
        <v>2</v>
      </c>
      <c r="J26">
        <v>3</v>
      </c>
      <c r="K26">
        <v>3</v>
      </c>
      <c r="L26">
        <v>3</v>
      </c>
      <c r="M26">
        <v>3</v>
      </c>
      <c r="N26">
        <v>3</v>
      </c>
      <c r="O26">
        <v>1</v>
      </c>
      <c r="P26">
        <v>89</v>
      </c>
    </row>
    <row r="27" spans="2:16" x14ac:dyDescent="0.45">
      <c r="B27">
        <v>7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2</v>
      </c>
      <c r="J27">
        <v>3</v>
      </c>
      <c r="K27">
        <v>3</v>
      </c>
      <c r="L27">
        <v>3</v>
      </c>
      <c r="M27">
        <v>3</v>
      </c>
      <c r="N27">
        <v>3</v>
      </c>
      <c r="O27">
        <v>1</v>
      </c>
      <c r="P27">
        <v>89</v>
      </c>
    </row>
    <row r="28" spans="2:16" x14ac:dyDescent="0.45">
      <c r="B28">
        <v>7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2</v>
      </c>
      <c r="J28">
        <v>3</v>
      </c>
      <c r="K28">
        <v>3</v>
      </c>
      <c r="L28">
        <v>3</v>
      </c>
      <c r="M28">
        <v>3</v>
      </c>
      <c r="N28">
        <v>3</v>
      </c>
      <c r="O28">
        <v>1</v>
      </c>
      <c r="P28">
        <v>89</v>
      </c>
    </row>
    <row r="29" spans="2:16" x14ac:dyDescent="0.45">
      <c r="B29">
        <v>7</v>
      </c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2</v>
      </c>
      <c r="J29">
        <v>3</v>
      </c>
      <c r="K29">
        <v>3</v>
      </c>
      <c r="L29">
        <v>3</v>
      </c>
      <c r="M29">
        <v>3</v>
      </c>
      <c r="N29">
        <v>3</v>
      </c>
      <c r="O29">
        <v>1</v>
      </c>
      <c r="P29">
        <v>89</v>
      </c>
    </row>
    <row r="30" spans="2:16" x14ac:dyDescent="0.45">
      <c r="B30">
        <v>8</v>
      </c>
      <c r="C30">
        <v>1</v>
      </c>
      <c r="D30">
        <v>3</v>
      </c>
      <c r="E30">
        <v>3</v>
      </c>
      <c r="F30">
        <v>3</v>
      </c>
      <c r="G30">
        <v>3</v>
      </c>
      <c r="H30">
        <v>3</v>
      </c>
      <c r="I30">
        <v>2</v>
      </c>
      <c r="J30">
        <v>3</v>
      </c>
      <c r="K30">
        <v>3</v>
      </c>
      <c r="L30">
        <v>3</v>
      </c>
      <c r="M30">
        <v>3</v>
      </c>
      <c r="N30">
        <v>2</v>
      </c>
      <c r="O30">
        <v>2</v>
      </c>
      <c r="P30">
        <v>90</v>
      </c>
    </row>
    <row r="31" spans="2:16" x14ac:dyDescent="0.45">
      <c r="B31">
        <v>8</v>
      </c>
      <c r="C31">
        <v>2</v>
      </c>
      <c r="D31">
        <v>3</v>
      </c>
      <c r="E31">
        <v>3</v>
      </c>
      <c r="F31">
        <v>3</v>
      </c>
      <c r="G31">
        <v>3</v>
      </c>
      <c r="H31">
        <v>3</v>
      </c>
      <c r="I31">
        <v>2</v>
      </c>
      <c r="J31">
        <v>3</v>
      </c>
      <c r="K31">
        <v>3</v>
      </c>
      <c r="L31">
        <v>3</v>
      </c>
      <c r="M31">
        <v>3</v>
      </c>
      <c r="N31">
        <v>2</v>
      </c>
      <c r="O31">
        <v>2</v>
      </c>
      <c r="P31">
        <v>90</v>
      </c>
    </row>
    <row r="32" spans="2:16" x14ac:dyDescent="0.45">
      <c r="B32">
        <v>8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2</v>
      </c>
      <c r="J32">
        <v>3</v>
      </c>
      <c r="K32">
        <v>3</v>
      </c>
      <c r="L32">
        <v>3</v>
      </c>
      <c r="M32">
        <v>3</v>
      </c>
      <c r="N32">
        <v>2</v>
      </c>
      <c r="O32">
        <v>2</v>
      </c>
      <c r="P32">
        <v>90</v>
      </c>
    </row>
    <row r="33" spans="2:16" x14ac:dyDescent="0.45">
      <c r="B33">
        <v>8</v>
      </c>
      <c r="C33">
        <v>4</v>
      </c>
      <c r="D33">
        <v>3</v>
      </c>
      <c r="E33">
        <v>3</v>
      </c>
      <c r="F33">
        <v>3</v>
      </c>
      <c r="G33">
        <v>3</v>
      </c>
      <c r="H33">
        <v>3</v>
      </c>
      <c r="I33">
        <v>2</v>
      </c>
      <c r="J33">
        <v>3</v>
      </c>
      <c r="K33">
        <v>3</v>
      </c>
      <c r="L33">
        <v>3</v>
      </c>
      <c r="M33">
        <v>3</v>
      </c>
      <c r="N33">
        <v>2</v>
      </c>
      <c r="O33">
        <v>2</v>
      </c>
      <c r="P33">
        <v>90</v>
      </c>
    </row>
    <row r="34" spans="2:16" x14ac:dyDescent="0.45">
      <c r="B34">
        <v>9</v>
      </c>
      <c r="C34">
        <v>1</v>
      </c>
      <c r="D34">
        <v>3</v>
      </c>
      <c r="E34">
        <v>3</v>
      </c>
      <c r="F34">
        <v>3</v>
      </c>
      <c r="G34">
        <v>3</v>
      </c>
      <c r="H34">
        <v>3</v>
      </c>
      <c r="I34">
        <v>2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96</v>
      </c>
    </row>
    <row r="35" spans="2:16" x14ac:dyDescent="0.45">
      <c r="B35">
        <v>9</v>
      </c>
      <c r="C35">
        <v>2</v>
      </c>
      <c r="D35">
        <v>3</v>
      </c>
      <c r="E35">
        <v>3</v>
      </c>
      <c r="F35">
        <v>3</v>
      </c>
      <c r="G35">
        <v>3</v>
      </c>
      <c r="H35">
        <v>3</v>
      </c>
      <c r="I35">
        <v>2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96</v>
      </c>
    </row>
    <row r="36" spans="2:16" x14ac:dyDescent="0.45">
      <c r="B36">
        <v>9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2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96</v>
      </c>
    </row>
    <row r="37" spans="2:16" x14ac:dyDescent="0.45">
      <c r="B37">
        <v>9</v>
      </c>
      <c r="C37">
        <v>4</v>
      </c>
      <c r="D37">
        <v>3</v>
      </c>
      <c r="E37">
        <v>3</v>
      </c>
      <c r="F37">
        <v>3</v>
      </c>
      <c r="G37">
        <v>3</v>
      </c>
      <c r="H37">
        <v>3</v>
      </c>
      <c r="I37">
        <v>2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96</v>
      </c>
    </row>
    <row r="38" spans="2:16" x14ac:dyDescent="0.45">
      <c r="B38">
        <v>10</v>
      </c>
      <c r="C38">
        <v>1</v>
      </c>
      <c r="D38">
        <v>3</v>
      </c>
      <c r="E38">
        <v>3</v>
      </c>
      <c r="F38">
        <v>3</v>
      </c>
      <c r="G38">
        <v>3</v>
      </c>
      <c r="H38">
        <v>3</v>
      </c>
      <c r="I38">
        <v>2</v>
      </c>
      <c r="J38">
        <v>3</v>
      </c>
      <c r="K38">
        <v>3</v>
      </c>
      <c r="L38">
        <v>3</v>
      </c>
      <c r="M38">
        <v>3</v>
      </c>
      <c r="N38">
        <v>3</v>
      </c>
      <c r="O38">
        <v>2</v>
      </c>
      <c r="P38">
        <v>92</v>
      </c>
    </row>
    <row r="39" spans="2:16" x14ac:dyDescent="0.45">
      <c r="B39">
        <v>10</v>
      </c>
      <c r="C39">
        <v>2</v>
      </c>
      <c r="D39">
        <v>3</v>
      </c>
      <c r="E39">
        <v>3</v>
      </c>
      <c r="F39">
        <v>3</v>
      </c>
      <c r="G39">
        <v>3</v>
      </c>
      <c r="H39">
        <v>3</v>
      </c>
      <c r="I39">
        <v>2</v>
      </c>
      <c r="J39">
        <v>3</v>
      </c>
      <c r="K39">
        <v>3</v>
      </c>
      <c r="L39">
        <v>3</v>
      </c>
      <c r="M39">
        <v>3</v>
      </c>
      <c r="N39">
        <v>3</v>
      </c>
      <c r="O39">
        <v>2</v>
      </c>
      <c r="P39">
        <v>92</v>
      </c>
    </row>
    <row r="40" spans="2:16" x14ac:dyDescent="0.45">
      <c r="B40">
        <v>10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2</v>
      </c>
      <c r="J40">
        <v>3</v>
      </c>
      <c r="K40">
        <v>3</v>
      </c>
      <c r="L40">
        <v>3</v>
      </c>
      <c r="M40">
        <v>3</v>
      </c>
      <c r="N40">
        <v>3</v>
      </c>
      <c r="O40">
        <v>2</v>
      </c>
      <c r="P40">
        <v>92</v>
      </c>
    </row>
    <row r="41" spans="2:16" x14ac:dyDescent="0.45">
      <c r="B41">
        <v>10</v>
      </c>
      <c r="C41">
        <v>4</v>
      </c>
      <c r="D41">
        <v>3</v>
      </c>
      <c r="E41">
        <v>3</v>
      </c>
      <c r="F41">
        <v>3</v>
      </c>
      <c r="G41">
        <v>3</v>
      </c>
      <c r="H41">
        <v>3</v>
      </c>
      <c r="I41">
        <v>2</v>
      </c>
      <c r="J41">
        <v>3</v>
      </c>
      <c r="K41">
        <v>3</v>
      </c>
      <c r="L41">
        <v>3</v>
      </c>
      <c r="M41">
        <v>3</v>
      </c>
      <c r="N41">
        <v>3</v>
      </c>
      <c r="O41">
        <v>2</v>
      </c>
      <c r="P41">
        <v>92</v>
      </c>
    </row>
    <row r="42" spans="2:16" x14ac:dyDescent="0.45">
      <c r="B42">
        <v>11</v>
      </c>
      <c r="C42">
        <v>1</v>
      </c>
      <c r="D42">
        <v>3</v>
      </c>
      <c r="E42">
        <v>3</v>
      </c>
      <c r="F42">
        <v>3</v>
      </c>
      <c r="G42">
        <v>3</v>
      </c>
      <c r="H42">
        <v>3</v>
      </c>
      <c r="I42">
        <v>2</v>
      </c>
      <c r="J42">
        <v>3</v>
      </c>
      <c r="K42">
        <v>3</v>
      </c>
      <c r="L42">
        <v>3</v>
      </c>
      <c r="M42">
        <v>3</v>
      </c>
      <c r="N42">
        <v>3</v>
      </c>
      <c r="O42">
        <v>2</v>
      </c>
      <c r="P42">
        <v>87</v>
      </c>
    </row>
    <row r="43" spans="2:16" x14ac:dyDescent="0.45">
      <c r="B43">
        <v>11</v>
      </c>
      <c r="C43">
        <v>2</v>
      </c>
      <c r="D43">
        <v>3</v>
      </c>
      <c r="E43">
        <v>3</v>
      </c>
      <c r="F43">
        <v>3</v>
      </c>
      <c r="G43">
        <v>3</v>
      </c>
      <c r="H43">
        <v>3</v>
      </c>
      <c r="I43">
        <v>2</v>
      </c>
      <c r="J43">
        <v>3</v>
      </c>
      <c r="K43">
        <v>3</v>
      </c>
      <c r="L43">
        <v>3</v>
      </c>
      <c r="M43">
        <v>3</v>
      </c>
      <c r="N43">
        <v>3</v>
      </c>
      <c r="O43">
        <v>2</v>
      </c>
      <c r="P43">
        <v>87</v>
      </c>
    </row>
    <row r="44" spans="2:16" x14ac:dyDescent="0.45">
      <c r="B44">
        <v>11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2</v>
      </c>
      <c r="J44">
        <v>3</v>
      </c>
      <c r="K44">
        <v>3</v>
      </c>
      <c r="L44">
        <v>3</v>
      </c>
      <c r="M44">
        <v>3</v>
      </c>
      <c r="N44">
        <v>3</v>
      </c>
      <c r="O44">
        <v>2</v>
      </c>
      <c r="P44">
        <v>87</v>
      </c>
    </row>
    <row r="45" spans="2:16" x14ac:dyDescent="0.45">
      <c r="B45">
        <v>11</v>
      </c>
      <c r="C45">
        <v>4</v>
      </c>
      <c r="D45">
        <v>3</v>
      </c>
      <c r="E45">
        <v>3</v>
      </c>
      <c r="F45">
        <v>3</v>
      </c>
      <c r="G45">
        <v>3</v>
      </c>
      <c r="H45">
        <v>3</v>
      </c>
      <c r="I45">
        <v>2</v>
      </c>
      <c r="J45">
        <v>3</v>
      </c>
      <c r="K45">
        <v>3</v>
      </c>
      <c r="L45">
        <v>3</v>
      </c>
      <c r="M45">
        <v>3</v>
      </c>
      <c r="N45">
        <v>3</v>
      </c>
      <c r="O45">
        <v>2</v>
      </c>
      <c r="P45">
        <v>87</v>
      </c>
    </row>
    <row r="46" spans="2:16" x14ac:dyDescent="0.45">
      <c r="B46">
        <v>12</v>
      </c>
      <c r="C46">
        <v>1</v>
      </c>
      <c r="D46">
        <v>3</v>
      </c>
      <c r="E46">
        <v>3</v>
      </c>
      <c r="F46">
        <v>3</v>
      </c>
      <c r="G46">
        <v>3</v>
      </c>
      <c r="H46">
        <v>3</v>
      </c>
      <c r="I46">
        <v>2</v>
      </c>
      <c r="J46">
        <v>3</v>
      </c>
      <c r="K46">
        <v>3</v>
      </c>
      <c r="L46">
        <v>3</v>
      </c>
      <c r="M46">
        <v>3</v>
      </c>
      <c r="N46">
        <v>3</v>
      </c>
      <c r="O46">
        <v>2</v>
      </c>
      <c r="P46">
        <v>90</v>
      </c>
    </row>
    <row r="47" spans="2:16" x14ac:dyDescent="0.45">
      <c r="B47">
        <v>12</v>
      </c>
      <c r="C47">
        <v>2</v>
      </c>
      <c r="D47">
        <v>3</v>
      </c>
      <c r="E47">
        <v>3</v>
      </c>
      <c r="F47">
        <v>3</v>
      </c>
      <c r="G47">
        <v>3</v>
      </c>
      <c r="H47">
        <v>3</v>
      </c>
      <c r="I47">
        <v>2</v>
      </c>
      <c r="J47">
        <v>3</v>
      </c>
      <c r="K47">
        <v>3</v>
      </c>
      <c r="L47">
        <v>3</v>
      </c>
      <c r="M47">
        <v>3</v>
      </c>
      <c r="N47">
        <v>3</v>
      </c>
      <c r="O47">
        <v>2</v>
      </c>
      <c r="P47">
        <v>90</v>
      </c>
    </row>
    <row r="48" spans="2:16" x14ac:dyDescent="0.45">
      <c r="B48">
        <v>12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2</v>
      </c>
      <c r="J48">
        <v>3</v>
      </c>
      <c r="K48">
        <v>3</v>
      </c>
      <c r="L48">
        <v>3</v>
      </c>
      <c r="M48">
        <v>3</v>
      </c>
      <c r="N48">
        <v>3</v>
      </c>
      <c r="O48">
        <v>2</v>
      </c>
      <c r="P48">
        <v>90</v>
      </c>
    </row>
    <row r="49" spans="2:16" x14ac:dyDescent="0.45">
      <c r="B49">
        <v>12</v>
      </c>
      <c r="C49">
        <v>4</v>
      </c>
      <c r="D49">
        <v>3</v>
      </c>
      <c r="E49">
        <v>3</v>
      </c>
      <c r="F49">
        <v>3</v>
      </c>
      <c r="G49">
        <v>3</v>
      </c>
      <c r="H49">
        <v>3</v>
      </c>
      <c r="I49">
        <v>2</v>
      </c>
      <c r="J49">
        <v>3</v>
      </c>
      <c r="K49">
        <v>3</v>
      </c>
      <c r="L49">
        <v>3</v>
      </c>
      <c r="M49">
        <v>3</v>
      </c>
      <c r="N49">
        <v>3</v>
      </c>
      <c r="O49">
        <v>2</v>
      </c>
      <c r="P49">
        <v>90</v>
      </c>
    </row>
    <row r="50" spans="2:16" x14ac:dyDescent="0.45">
      <c r="B50">
        <v>13</v>
      </c>
      <c r="C50">
        <v>1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1</v>
      </c>
      <c r="P50">
        <v>93</v>
      </c>
    </row>
    <row r="51" spans="2:16" x14ac:dyDescent="0.45">
      <c r="B51">
        <v>13</v>
      </c>
      <c r="C51">
        <v>2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1</v>
      </c>
      <c r="P51">
        <v>93</v>
      </c>
    </row>
    <row r="52" spans="2:16" x14ac:dyDescent="0.45">
      <c r="B52">
        <v>13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1</v>
      </c>
      <c r="P52">
        <v>93</v>
      </c>
    </row>
    <row r="53" spans="2:16" x14ac:dyDescent="0.45">
      <c r="B53">
        <v>13</v>
      </c>
      <c r="C53">
        <v>4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1</v>
      </c>
      <c r="P53">
        <v>93</v>
      </c>
    </row>
    <row r="54" spans="2:16" x14ac:dyDescent="0.45">
      <c r="B54">
        <v>14</v>
      </c>
      <c r="C54">
        <v>1</v>
      </c>
      <c r="D54">
        <v>3</v>
      </c>
      <c r="E54">
        <v>3</v>
      </c>
      <c r="F54">
        <v>3</v>
      </c>
      <c r="G54">
        <v>3</v>
      </c>
      <c r="H54">
        <v>3</v>
      </c>
      <c r="I54">
        <v>2</v>
      </c>
      <c r="J54">
        <v>3</v>
      </c>
      <c r="K54">
        <v>3</v>
      </c>
      <c r="L54">
        <v>3</v>
      </c>
      <c r="M54">
        <v>3</v>
      </c>
      <c r="N54">
        <v>3</v>
      </c>
      <c r="O54">
        <v>2</v>
      </c>
      <c r="P54">
        <v>90</v>
      </c>
    </row>
    <row r="55" spans="2:16" x14ac:dyDescent="0.45">
      <c r="B55">
        <v>14</v>
      </c>
      <c r="C55">
        <v>2</v>
      </c>
      <c r="D55">
        <v>3</v>
      </c>
      <c r="E55">
        <v>3</v>
      </c>
      <c r="F55">
        <v>3</v>
      </c>
      <c r="G55">
        <v>3</v>
      </c>
      <c r="H55">
        <v>3</v>
      </c>
      <c r="I55">
        <v>2</v>
      </c>
      <c r="J55">
        <v>3</v>
      </c>
      <c r="K55">
        <v>3</v>
      </c>
      <c r="L55">
        <v>3</v>
      </c>
      <c r="M55">
        <v>3</v>
      </c>
      <c r="N55">
        <v>3</v>
      </c>
      <c r="O55">
        <v>2</v>
      </c>
      <c r="P55">
        <v>90</v>
      </c>
    </row>
    <row r="56" spans="2:16" x14ac:dyDescent="0.45">
      <c r="B56">
        <v>14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2</v>
      </c>
      <c r="J56">
        <v>3</v>
      </c>
      <c r="K56">
        <v>3</v>
      </c>
      <c r="L56">
        <v>3</v>
      </c>
      <c r="M56">
        <v>3</v>
      </c>
      <c r="N56">
        <v>3</v>
      </c>
      <c r="O56">
        <v>2</v>
      </c>
      <c r="P56">
        <v>90</v>
      </c>
    </row>
    <row r="57" spans="2:16" x14ac:dyDescent="0.45">
      <c r="B57">
        <v>14</v>
      </c>
      <c r="C57">
        <v>4</v>
      </c>
      <c r="D57">
        <v>3</v>
      </c>
      <c r="E57">
        <v>3</v>
      </c>
      <c r="F57">
        <v>3</v>
      </c>
      <c r="G57">
        <v>3</v>
      </c>
      <c r="H57">
        <v>3</v>
      </c>
      <c r="I57">
        <v>2</v>
      </c>
      <c r="J57">
        <v>3</v>
      </c>
      <c r="K57">
        <v>3</v>
      </c>
      <c r="L57">
        <v>3</v>
      </c>
      <c r="M57">
        <v>3</v>
      </c>
      <c r="N57">
        <v>3</v>
      </c>
      <c r="O57">
        <v>2</v>
      </c>
      <c r="P57">
        <v>90</v>
      </c>
    </row>
    <row r="58" spans="2:16" x14ac:dyDescent="0.45">
      <c r="B58">
        <v>15</v>
      </c>
      <c r="C58">
        <v>1</v>
      </c>
      <c r="D58">
        <v>3</v>
      </c>
      <c r="E58">
        <v>3</v>
      </c>
      <c r="F58">
        <v>3</v>
      </c>
      <c r="G58">
        <v>3</v>
      </c>
      <c r="H58">
        <v>3</v>
      </c>
      <c r="I58">
        <v>2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94</v>
      </c>
    </row>
    <row r="59" spans="2:16" x14ac:dyDescent="0.45">
      <c r="B59">
        <v>15</v>
      </c>
      <c r="C59">
        <v>2</v>
      </c>
      <c r="D59">
        <v>3</v>
      </c>
      <c r="E59">
        <v>3</v>
      </c>
      <c r="F59">
        <v>3</v>
      </c>
      <c r="G59">
        <v>3</v>
      </c>
      <c r="H59">
        <v>3</v>
      </c>
      <c r="I59">
        <v>2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94</v>
      </c>
    </row>
    <row r="60" spans="2:16" x14ac:dyDescent="0.45">
      <c r="B60">
        <v>15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2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94</v>
      </c>
    </row>
    <row r="61" spans="2:16" x14ac:dyDescent="0.45">
      <c r="B61">
        <v>15</v>
      </c>
      <c r="C61">
        <v>4</v>
      </c>
      <c r="D61">
        <v>3</v>
      </c>
      <c r="E61">
        <v>3</v>
      </c>
      <c r="F61">
        <v>3</v>
      </c>
      <c r="G61">
        <v>3</v>
      </c>
      <c r="H61">
        <v>3</v>
      </c>
      <c r="I61">
        <v>2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94</v>
      </c>
    </row>
    <row r="62" spans="2:16" x14ac:dyDescent="0.45">
      <c r="B62">
        <v>16</v>
      </c>
      <c r="C62">
        <v>1</v>
      </c>
      <c r="D62">
        <v>3</v>
      </c>
      <c r="E62">
        <v>3</v>
      </c>
      <c r="F62">
        <v>3</v>
      </c>
      <c r="G62">
        <v>3</v>
      </c>
      <c r="H62">
        <v>3</v>
      </c>
      <c r="I62">
        <v>2</v>
      </c>
      <c r="J62">
        <v>3</v>
      </c>
      <c r="K62">
        <v>3</v>
      </c>
      <c r="L62">
        <v>3</v>
      </c>
      <c r="M62">
        <v>3</v>
      </c>
      <c r="N62">
        <v>3</v>
      </c>
      <c r="O62">
        <v>2</v>
      </c>
      <c r="P62">
        <v>88</v>
      </c>
    </row>
    <row r="63" spans="2:16" x14ac:dyDescent="0.45">
      <c r="B63">
        <v>16</v>
      </c>
      <c r="C63">
        <v>2</v>
      </c>
      <c r="D63">
        <v>3</v>
      </c>
      <c r="E63">
        <v>3</v>
      </c>
      <c r="F63">
        <v>3</v>
      </c>
      <c r="G63">
        <v>3</v>
      </c>
      <c r="H63">
        <v>3</v>
      </c>
      <c r="I63">
        <v>2</v>
      </c>
      <c r="J63">
        <v>3</v>
      </c>
      <c r="K63">
        <v>3</v>
      </c>
      <c r="L63">
        <v>3</v>
      </c>
      <c r="M63">
        <v>3</v>
      </c>
      <c r="N63">
        <v>3</v>
      </c>
      <c r="O63">
        <v>2</v>
      </c>
      <c r="P63">
        <v>88</v>
      </c>
    </row>
    <row r="64" spans="2:16" x14ac:dyDescent="0.45">
      <c r="B64">
        <v>16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2</v>
      </c>
      <c r="J64">
        <v>3</v>
      </c>
      <c r="K64">
        <v>3</v>
      </c>
      <c r="L64">
        <v>3</v>
      </c>
      <c r="M64">
        <v>3</v>
      </c>
      <c r="N64">
        <v>3</v>
      </c>
      <c r="O64">
        <v>2</v>
      </c>
      <c r="P64">
        <v>88</v>
      </c>
    </row>
    <row r="65" spans="2:16" x14ac:dyDescent="0.45">
      <c r="B65">
        <v>16</v>
      </c>
      <c r="C65">
        <v>4</v>
      </c>
      <c r="D65">
        <v>3</v>
      </c>
      <c r="E65">
        <v>3</v>
      </c>
      <c r="F65">
        <v>3</v>
      </c>
      <c r="G65">
        <v>3</v>
      </c>
      <c r="H65">
        <v>3</v>
      </c>
      <c r="I65">
        <v>2</v>
      </c>
      <c r="J65">
        <v>3</v>
      </c>
      <c r="K65">
        <v>3</v>
      </c>
      <c r="L65">
        <v>3</v>
      </c>
      <c r="M65">
        <v>3</v>
      </c>
      <c r="N65">
        <v>3</v>
      </c>
      <c r="O65">
        <v>2</v>
      </c>
      <c r="P65">
        <v>88</v>
      </c>
    </row>
    <row r="66" spans="2:16" x14ac:dyDescent="0.45">
      <c r="B66">
        <v>17</v>
      </c>
      <c r="C66">
        <v>1</v>
      </c>
      <c r="D66">
        <v>3</v>
      </c>
      <c r="E66">
        <v>3</v>
      </c>
      <c r="F66">
        <v>3</v>
      </c>
      <c r="G66">
        <v>3</v>
      </c>
      <c r="H66">
        <v>3</v>
      </c>
      <c r="I66">
        <v>2</v>
      </c>
      <c r="J66">
        <v>3</v>
      </c>
      <c r="K66">
        <v>3</v>
      </c>
      <c r="L66">
        <v>3</v>
      </c>
      <c r="M66">
        <v>3</v>
      </c>
      <c r="N66">
        <v>3</v>
      </c>
      <c r="O66">
        <v>3</v>
      </c>
      <c r="P66">
        <v>96</v>
      </c>
    </row>
    <row r="67" spans="2:16" x14ac:dyDescent="0.45">
      <c r="B67">
        <v>17</v>
      </c>
      <c r="C67">
        <v>2</v>
      </c>
      <c r="D67">
        <v>3</v>
      </c>
      <c r="E67">
        <v>3</v>
      </c>
      <c r="F67">
        <v>3</v>
      </c>
      <c r="G67">
        <v>3</v>
      </c>
      <c r="H67">
        <v>3</v>
      </c>
      <c r="I67">
        <v>2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96</v>
      </c>
    </row>
    <row r="68" spans="2:16" x14ac:dyDescent="0.45">
      <c r="B68">
        <v>17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2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96</v>
      </c>
    </row>
    <row r="70" spans="2:16" x14ac:dyDescent="0.45">
      <c r="B70" t="s">
        <v>15</v>
      </c>
    </row>
    <row r="71" spans="2:16" x14ac:dyDescent="0.45">
      <c r="B71" s="1" t="s">
        <v>16</v>
      </c>
      <c r="D71" s="2" t="s">
        <v>2</v>
      </c>
      <c r="E71" s="2" t="s">
        <v>3</v>
      </c>
      <c r="F71" s="2" t="s">
        <v>4</v>
      </c>
      <c r="G71" s="2" t="s">
        <v>5</v>
      </c>
      <c r="H71" s="2" t="s">
        <v>6</v>
      </c>
      <c r="I71" s="2" t="s">
        <v>7</v>
      </c>
      <c r="J71" s="2" t="s">
        <v>8</v>
      </c>
      <c r="K71" s="2" t="s">
        <v>9</v>
      </c>
      <c r="L71" s="2" t="s">
        <v>10</v>
      </c>
      <c r="M71" s="2" t="s">
        <v>11</v>
      </c>
      <c r="N71" s="2" t="s">
        <v>12</v>
      </c>
      <c r="O71" s="2" t="s">
        <v>13</v>
      </c>
    </row>
    <row r="72" spans="2:16" x14ac:dyDescent="0.45">
      <c r="B72" s="1" t="s">
        <v>17</v>
      </c>
      <c r="D72" s="3">
        <v>3</v>
      </c>
      <c r="E72" s="3">
        <v>3</v>
      </c>
      <c r="F72" s="3">
        <v>3</v>
      </c>
      <c r="G72" s="3">
        <v>3</v>
      </c>
      <c r="H72" s="3">
        <v>3</v>
      </c>
      <c r="I72" s="3">
        <v>3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</row>
    <row r="73" spans="2:16" x14ac:dyDescent="0.45">
      <c r="B73" s="1" t="s">
        <v>19</v>
      </c>
      <c r="D73" s="4">
        <f>AVERAGE(Table74[Clarity of Report])</f>
        <v>3</v>
      </c>
      <c r="E73" s="4">
        <f>AVERAGE(Table74[Report Formatting])</f>
        <v>3</v>
      </c>
      <c r="F73" s="4">
        <f>AVERAGE(Table74[Project Charter/ Design Plan])</f>
        <v>3</v>
      </c>
      <c r="G73" s="4">
        <f>AVERAGE(Table74[Clarity/Relevance/Heading/Numbering of Figures/Tables])</f>
        <v>3</v>
      </c>
      <c r="H73" s="4">
        <f>AVERAGE(Table74[Referencing])</f>
        <v>3</v>
      </c>
      <c r="I73" s="4">
        <f>AVERAGE(Table74[Significant Figures])</f>
        <v>2.1194029850746268</v>
      </c>
      <c r="J73" s="4">
        <f>AVERAGE(Table74[Capital Cost])</f>
        <v>3</v>
      </c>
      <c r="K73" s="4">
        <f>AVERAGE(Table74[Equipment cost (hand vs Aspen)/ Discussion])</f>
        <v>3</v>
      </c>
      <c r="L73" s="4">
        <f>AVERAGE(Table74[VCOP/FCOP/Revenue])</f>
        <v>3</v>
      </c>
      <c r="M73" s="4">
        <f>AVERAGE(Table74[Simple Payback, ROI, DCFROR])</f>
        <v>3</v>
      </c>
      <c r="N73" s="4">
        <f>AVERAGE(Table74[NPV])</f>
        <v>2.6417910447761193</v>
      </c>
      <c r="O73" s="4">
        <f>AVERAGE(Table74[Sensitivity Analysis/ Discussion])</f>
        <v>2.1641791044776117</v>
      </c>
    </row>
    <row r="74" spans="2:16" x14ac:dyDescent="0.45">
      <c r="B74" s="1" t="s">
        <v>20</v>
      </c>
      <c r="D74" s="3">
        <f>STDEV(Table74[Clarity of Report])</f>
        <v>0</v>
      </c>
      <c r="E74" s="3">
        <f>STDEV(Table74[Report Formatting])</f>
        <v>0</v>
      </c>
      <c r="F74" s="3">
        <f>STDEV(Table74[Project Charter/ Design Plan])</f>
        <v>0</v>
      </c>
      <c r="G74" s="3">
        <f>STDEV(Table74[Clarity/Relevance/Heading/Numbering of Figures/Tables])</f>
        <v>0</v>
      </c>
      <c r="H74" s="3">
        <f>STDEV(Table74[Referencing])</f>
        <v>0</v>
      </c>
      <c r="I74" s="3">
        <f>STDEV(Table74[Significant Figures])</f>
        <v>0.32670940009764976</v>
      </c>
      <c r="J74" s="3">
        <f>STDEV(Table74[Capital Cost])</f>
        <v>0</v>
      </c>
      <c r="K74" s="3">
        <f>STDEV(Table74[Equipment cost (hand vs Aspen)/ Discussion])</f>
        <v>0</v>
      </c>
      <c r="L74" s="3">
        <f>STDEV(Table74[VCOP/FCOP/Revenue])</f>
        <v>0</v>
      </c>
      <c r="M74" s="3">
        <f>STDEV(Table74[Simple Payback, ROI, DCFROR])</f>
        <v>0</v>
      </c>
      <c r="N74" s="3">
        <f>STDEV(Table74[NPV])</f>
        <v>0.68978460707746547</v>
      </c>
      <c r="O74" s="3">
        <f>STDEV(Table74[Sensitivity Analysis/ Discussion])</f>
        <v>0.61784118105813202</v>
      </c>
    </row>
    <row r="76" spans="2:16" x14ac:dyDescent="0.45">
      <c r="B76" s="1" t="s">
        <v>21</v>
      </c>
      <c r="D76" s="1">
        <f>AVERAGE(D73:O73)</f>
        <v>2.8271144278606966</v>
      </c>
    </row>
    <row r="77" spans="2:16" x14ac:dyDescent="0.45">
      <c r="B77" s="1" t="s">
        <v>22</v>
      </c>
      <c r="D77" s="1">
        <f>AVERAGE(J73:O73)</f>
        <v>2.8009950248756219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 396 Fall 2018 HW4</vt:lpstr>
      <vt:lpstr>CHE 396 Fall 2017 HW4</vt:lpstr>
      <vt:lpstr>CHE 396 Fall 2019 HW4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Alan</cp:lastModifiedBy>
  <dcterms:created xsi:type="dcterms:W3CDTF">2020-05-18T20:55:46Z</dcterms:created>
  <dcterms:modified xsi:type="dcterms:W3CDTF">2020-06-03T21:51:14Z</dcterms:modified>
</cp:coreProperties>
</file>