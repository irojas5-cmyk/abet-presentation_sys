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ABET /"/>
    </mc:Choice>
  </mc:AlternateContent>
  <xr:revisionPtr revIDLastSave="0" documentId="13_ncr:1_{2628E86D-2ED8-DB49-9DD8-1E440B506880}" xr6:coauthVersionLast="45" xr6:coauthVersionMax="45" xr10:uidLastSave="{00000000-0000-0000-0000-000000000000}"/>
  <bookViews>
    <workbookView xWindow="0" yWindow="460" windowWidth="28540" windowHeight="16100" xr2:uid="{FE51778D-1677-634B-B02F-99E0CA14081C}"/>
  </bookViews>
  <sheets>
    <sheet name="CHE 396 Fall 2019 HW 6" sheetId="1" r:id="rId1"/>
    <sheet name="CHE 396 Fall 2018 HW 6" sheetId="2" r:id="rId2"/>
    <sheet name="CHE 396 Fall 2017 HW 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5" i="1" l="1"/>
  <c r="E70" i="2"/>
  <c r="E67" i="2"/>
  <c r="F67" i="2"/>
  <c r="G67" i="2"/>
  <c r="H67" i="2"/>
  <c r="I67" i="2"/>
  <c r="J67" i="2"/>
  <c r="E68" i="2"/>
  <c r="F68" i="2"/>
  <c r="G68" i="2"/>
  <c r="H68" i="2"/>
  <c r="I68" i="2"/>
  <c r="J68" i="2"/>
  <c r="E76" i="3"/>
  <c r="J74" i="3" l="1"/>
  <c r="I74" i="3"/>
  <c r="H74" i="3"/>
  <c r="G74" i="3"/>
  <c r="F74" i="3"/>
  <c r="E74" i="3"/>
  <c r="J73" i="3"/>
  <c r="I73" i="3"/>
  <c r="H73" i="3"/>
  <c r="G73" i="3"/>
  <c r="F73" i="3"/>
  <c r="E73" i="3"/>
  <c r="J73" i="1"/>
  <c r="I73" i="1"/>
  <c r="H73" i="1"/>
  <c r="G73" i="1"/>
  <c r="F73" i="1"/>
  <c r="E73" i="1"/>
  <c r="J72" i="1"/>
  <c r="I72" i="1"/>
  <c r="H72" i="1"/>
  <c r="G72" i="1"/>
  <c r="F72" i="1"/>
  <c r="E72" i="1"/>
</calcChain>
</file>

<file path=xl/sharedStrings.xml><?xml version="1.0" encoding="utf-8"?>
<sst xmlns="http://schemas.openxmlformats.org/spreadsheetml/2006/main" count="66" uniqueCount="17">
  <si>
    <t>Group number</t>
  </si>
  <si>
    <t>Student number</t>
  </si>
  <si>
    <t>Clarity of Report and format</t>
  </si>
  <si>
    <t>Project Charter/ Design Plan</t>
  </si>
  <si>
    <t>Clarity/Relevance/Heading/Numbering of Figures/Tables</t>
  </si>
  <si>
    <t>Referencing</t>
  </si>
  <si>
    <t>Process Hazard Identification</t>
  </si>
  <si>
    <t>HAZOP</t>
  </si>
  <si>
    <t>Raw Total</t>
  </si>
  <si>
    <t xml:space="preserve">This HW is about process safety </t>
  </si>
  <si>
    <t xml:space="preserve">Rubric Item </t>
  </si>
  <si>
    <t>Mapped SLO</t>
  </si>
  <si>
    <t>Avg</t>
  </si>
  <si>
    <t>STD</t>
  </si>
  <si>
    <t>PI 2 and 3</t>
  </si>
  <si>
    <t xml:space="preserve">SLO 4  Overall Avg </t>
  </si>
  <si>
    <t xml:space="preserve">SLO 4 Overall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</si>
</sst>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9"/>
      <color rgb="FF444444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3" borderId="2" xfId="0" applyFont="1" applyFill="1" applyBorder="1" applyAlignment="1">
      <alignment vertical="center" wrapText="1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F09B3-AE19-1D4C-851D-85A83A9AB052}" name="Table9" displayName="Table9" ref="C1:K67" totalsRowShown="0">
  <autoFilter ref="C1:K67" xr:uid="{4AF5362D-38DA-3C42-A640-94508749062F}"/>
  <tableColumns count="9">
    <tableColumn id="1" xr3:uid="{4A0317A0-37E0-BB41-9569-4F7D82F6AE95}" name="Group number"/>
    <tableColumn id="2" xr3:uid="{C24EA8AB-C858-E644-AC87-6FEF488E7BA0}" name="Student number"/>
    <tableColumn id="3" xr3:uid="{B45EABC5-7C14-324D-9504-3570346BA565}" name="Clarity of Report and format"/>
    <tableColumn id="4" xr3:uid="{996C2309-8667-1048-8EB0-98812FB8D4DD}" name="Project Charter/ Design Plan"/>
    <tableColumn id="5" xr3:uid="{432516FC-7334-F34C-A6E1-600DA5B12FD8}" name="Clarity/Relevance/Heading/Numbering of Figures/Tables"/>
    <tableColumn id="6" xr3:uid="{D8D7047C-3A5F-374C-BFD2-1B6D133A5541}" name="Referencing"/>
    <tableColumn id="7" xr3:uid="{DCD360F2-19A6-7D42-9B6E-642C7AFBC609}" name="Process Hazard Identification"/>
    <tableColumn id="8" xr3:uid="{ADFC28D1-3D12-B543-B52B-EE6AB7ED169D}" name="HAZOP"/>
    <tableColumn id="9" xr3:uid="{523346F8-7950-6547-B3B4-0A0730691A5B}" name="Raw To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66AEC-2EE7-A842-BCC5-D93D3FF96790}" name="Table93" displayName="Table93" ref="C1:K62" totalsRowShown="0">
  <autoFilter ref="C1:K62" xr:uid="{A9CED623-730F-D148-A18C-E28B1BDE4E1E}"/>
  <tableColumns count="9">
    <tableColumn id="1" xr3:uid="{8A5BA611-F4EE-6848-B559-BF7D68E7B2B1}" name="Group number"/>
    <tableColumn id="2" xr3:uid="{D1374A61-295E-EB4A-99A0-77E4FD0E9C94}" name="Student number"/>
    <tableColumn id="3" xr3:uid="{AF04C141-EF51-7A44-BCDF-133DD04A1E3D}" name="Clarity of Report and format"/>
    <tableColumn id="4" xr3:uid="{83AA06BC-CF84-5446-A7F6-AD1677D6C14F}" name="Project Charter/ Design Plan"/>
    <tableColumn id="5" xr3:uid="{A9A3CB13-1AAD-A548-B4D3-839BF0150607}" name="Clarity/Relevance/Heading/Numbering of Figures/Tables"/>
    <tableColumn id="6" xr3:uid="{117D27D8-6828-014D-A8A2-00470B6FB017}" name="Referencing"/>
    <tableColumn id="7" xr3:uid="{431650C6-519E-DB42-A328-33F88AC0C6A1}" name="Process Hazard Identification"/>
    <tableColumn id="8" xr3:uid="{A18E729A-1751-AE4B-928D-D2588790B524}" name="HAZOP"/>
    <tableColumn id="9" xr3:uid="{F3304C55-C55D-7948-B050-46C22AB7A801}" name="Raw Tota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E66361-F539-D34F-A834-7FFD0DF54356}" name="Table94" displayName="Table94" ref="C1:K68" totalsRowShown="0">
  <autoFilter ref="C1:K68" xr:uid="{B4AE6606-2C6A-A24B-91D8-48B6ED568E58}"/>
  <tableColumns count="9">
    <tableColumn id="1" xr3:uid="{93092B00-FCC8-E54D-9181-9AFED07EB38C}" name="Group number"/>
    <tableColumn id="2" xr3:uid="{FCD3EF8B-02C7-8F47-8DA1-F49498988CBB}" name="Student number"/>
    <tableColumn id="3" xr3:uid="{5699EBDB-245F-2746-B005-8DE005671779}" name="Clarity of Report and format"/>
    <tableColumn id="4" xr3:uid="{92C30B1D-F79A-354F-A0A0-59E862010C72}" name="Project Charter/ Design Plan"/>
    <tableColumn id="5" xr3:uid="{5A388ADB-CD89-FB44-B54A-38771A0E2BF6}" name="Clarity/Relevance/Heading/Numbering of Figures/Tables"/>
    <tableColumn id="6" xr3:uid="{C9CABC4A-DC81-794F-894F-2E7374AD88C7}" name="Referencing"/>
    <tableColumn id="7" xr3:uid="{BBA546A7-0886-484E-B8F1-5873F2E489E6}" name="Process Hazard Identification"/>
    <tableColumn id="8" xr3:uid="{A9AA769A-63D6-5D44-8CFC-D65744F9240E}" name="HAZOP"/>
    <tableColumn id="9" xr3:uid="{A827887D-B38C-8447-9E23-DA66910FB63D}" name="Raw Tot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EA64-A88A-9C44-B5B1-35EFE1B88A32}">
  <dimension ref="B1:K75"/>
  <sheetViews>
    <sheetView tabSelected="1" topLeftCell="A56" workbookViewId="0">
      <selection activeCell="G83" sqref="G83"/>
    </sheetView>
  </sheetViews>
  <sheetFormatPr baseColWidth="10" defaultRowHeight="16"/>
  <cols>
    <col min="3" max="11" width="8.1640625" customWidth="1"/>
  </cols>
  <sheetData>
    <row r="1" spans="3:1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</row>
    <row r="2" spans="3:11">
      <c r="C2">
        <v>2</v>
      </c>
      <c r="D2">
        <v>1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92</v>
      </c>
    </row>
    <row r="3" spans="3:11"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92</v>
      </c>
    </row>
    <row r="4" spans="3:11">
      <c r="C4">
        <v>2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92</v>
      </c>
    </row>
    <row r="5" spans="3:11">
      <c r="C5">
        <v>2</v>
      </c>
      <c r="D5">
        <v>4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92</v>
      </c>
    </row>
    <row r="6" spans="3:11">
      <c r="C6">
        <v>1</v>
      </c>
      <c r="D6">
        <v>1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95</v>
      </c>
    </row>
    <row r="7" spans="3:11">
      <c r="C7">
        <v>1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95</v>
      </c>
    </row>
    <row r="8" spans="3:11">
      <c r="C8">
        <v>1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95</v>
      </c>
    </row>
    <row r="9" spans="3:11">
      <c r="C9">
        <v>1</v>
      </c>
      <c r="D9">
        <v>4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95</v>
      </c>
    </row>
    <row r="10" spans="3:11">
      <c r="C10">
        <v>15</v>
      </c>
      <c r="D10">
        <v>1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84</v>
      </c>
    </row>
    <row r="11" spans="3:11">
      <c r="C11">
        <v>15</v>
      </c>
      <c r="D11">
        <v>2</v>
      </c>
      <c r="E11">
        <v>3</v>
      </c>
      <c r="F11">
        <v>3</v>
      </c>
      <c r="G11">
        <v>3</v>
      </c>
      <c r="H11">
        <v>3</v>
      </c>
      <c r="I11">
        <v>3</v>
      </c>
      <c r="J11">
        <v>2</v>
      </c>
      <c r="K11">
        <v>84</v>
      </c>
    </row>
    <row r="12" spans="3:11">
      <c r="C12">
        <v>15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2</v>
      </c>
      <c r="K12">
        <v>84</v>
      </c>
    </row>
    <row r="13" spans="3:11">
      <c r="C13">
        <v>6</v>
      </c>
      <c r="D13">
        <v>1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92</v>
      </c>
    </row>
    <row r="14" spans="3:11">
      <c r="C14">
        <v>6</v>
      </c>
      <c r="D14">
        <v>2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92</v>
      </c>
    </row>
    <row r="15" spans="3:11">
      <c r="C15">
        <v>6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92</v>
      </c>
    </row>
    <row r="16" spans="3:11">
      <c r="C16">
        <v>7</v>
      </c>
      <c r="D16">
        <v>1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92</v>
      </c>
    </row>
    <row r="17" spans="3:11">
      <c r="C17">
        <v>7</v>
      </c>
      <c r="D17">
        <v>2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92</v>
      </c>
    </row>
    <row r="18" spans="3:11">
      <c r="C18">
        <v>7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92</v>
      </c>
    </row>
    <row r="19" spans="3:11">
      <c r="C19">
        <v>7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92</v>
      </c>
    </row>
    <row r="20" spans="3:11">
      <c r="C20">
        <v>14</v>
      </c>
      <c r="D20">
        <v>1</v>
      </c>
      <c r="E20">
        <v>3</v>
      </c>
      <c r="F20">
        <v>3</v>
      </c>
      <c r="G20">
        <v>3</v>
      </c>
      <c r="H20">
        <v>3</v>
      </c>
      <c r="I20">
        <v>2</v>
      </c>
      <c r="J20">
        <v>3</v>
      </c>
      <c r="K20">
        <v>86</v>
      </c>
    </row>
    <row r="21" spans="3:11">
      <c r="C21">
        <v>14</v>
      </c>
      <c r="D21">
        <v>2</v>
      </c>
      <c r="E21">
        <v>3</v>
      </c>
      <c r="F21">
        <v>3</v>
      </c>
      <c r="G21">
        <v>3</v>
      </c>
      <c r="H21">
        <v>3</v>
      </c>
      <c r="I21">
        <v>2</v>
      </c>
      <c r="J21">
        <v>3</v>
      </c>
      <c r="K21">
        <v>86</v>
      </c>
    </row>
    <row r="22" spans="3:11">
      <c r="C22">
        <v>14</v>
      </c>
      <c r="D22">
        <v>3</v>
      </c>
      <c r="E22">
        <v>3</v>
      </c>
      <c r="F22">
        <v>3</v>
      </c>
      <c r="G22">
        <v>3</v>
      </c>
      <c r="H22">
        <v>3</v>
      </c>
      <c r="I22">
        <v>2</v>
      </c>
      <c r="J22">
        <v>3</v>
      </c>
      <c r="K22">
        <v>86</v>
      </c>
    </row>
    <row r="23" spans="3:11">
      <c r="C23">
        <v>3</v>
      </c>
      <c r="D23">
        <v>1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92</v>
      </c>
    </row>
    <row r="24" spans="3:11">
      <c r="C24">
        <v>3</v>
      </c>
      <c r="D24">
        <v>2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92</v>
      </c>
    </row>
    <row r="25" spans="3:11"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92</v>
      </c>
    </row>
    <row r="26" spans="3:11">
      <c r="C26">
        <v>3</v>
      </c>
      <c r="D26">
        <v>4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92</v>
      </c>
    </row>
    <row r="27" spans="3:11">
      <c r="C27">
        <v>11</v>
      </c>
      <c r="D27">
        <v>1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100</v>
      </c>
    </row>
    <row r="28" spans="3:11">
      <c r="C28">
        <v>11</v>
      </c>
      <c r="D28">
        <v>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100</v>
      </c>
    </row>
    <row r="29" spans="3:11">
      <c r="C29">
        <v>11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100</v>
      </c>
    </row>
    <row r="30" spans="3:11">
      <c r="C30">
        <v>13</v>
      </c>
      <c r="D30">
        <v>1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92</v>
      </c>
    </row>
    <row r="31" spans="3:11">
      <c r="C31">
        <v>13</v>
      </c>
      <c r="D31">
        <v>2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92</v>
      </c>
    </row>
    <row r="32" spans="3:11">
      <c r="C32">
        <v>13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92</v>
      </c>
    </row>
    <row r="33" spans="3:11">
      <c r="C33">
        <v>13</v>
      </c>
      <c r="D33">
        <v>4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92</v>
      </c>
    </row>
    <row r="34" spans="3:11">
      <c r="C34">
        <v>13</v>
      </c>
      <c r="D34">
        <v>5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92</v>
      </c>
    </row>
    <row r="35" spans="3:11">
      <c r="C35">
        <v>17</v>
      </c>
      <c r="D35">
        <v>1</v>
      </c>
      <c r="E35">
        <v>3</v>
      </c>
      <c r="F35">
        <v>3</v>
      </c>
      <c r="G35">
        <v>3</v>
      </c>
      <c r="H35">
        <v>3</v>
      </c>
      <c r="I35">
        <v>3</v>
      </c>
      <c r="J35">
        <v>2</v>
      </c>
      <c r="K35">
        <v>84</v>
      </c>
    </row>
    <row r="36" spans="3:11">
      <c r="C36">
        <v>17</v>
      </c>
      <c r="D36">
        <v>2</v>
      </c>
      <c r="E36">
        <v>3</v>
      </c>
      <c r="F36">
        <v>3</v>
      </c>
      <c r="G36">
        <v>3</v>
      </c>
      <c r="H36">
        <v>3</v>
      </c>
      <c r="I36">
        <v>3</v>
      </c>
      <c r="J36">
        <v>2</v>
      </c>
      <c r="K36">
        <v>84</v>
      </c>
    </row>
    <row r="37" spans="3:11">
      <c r="C37">
        <v>17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2</v>
      </c>
      <c r="K37">
        <v>84</v>
      </c>
    </row>
    <row r="38" spans="3:11">
      <c r="C38">
        <v>17</v>
      </c>
      <c r="D38">
        <v>4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84</v>
      </c>
    </row>
    <row r="39" spans="3:11">
      <c r="C39">
        <v>17</v>
      </c>
      <c r="D39">
        <v>5</v>
      </c>
      <c r="E39">
        <v>3</v>
      </c>
      <c r="F39">
        <v>3</v>
      </c>
      <c r="G39">
        <v>3</v>
      </c>
      <c r="H39">
        <v>3</v>
      </c>
      <c r="I39">
        <v>3</v>
      </c>
      <c r="J39">
        <v>2</v>
      </c>
      <c r="K39">
        <v>84</v>
      </c>
    </row>
    <row r="40" spans="3:11">
      <c r="C40">
        <v>4</v>
      </c>
      <c r="D40">
        <v>1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92</v>
      </c>
    </row>
    <row r="41" spans="3:11">
      <c r="C41">
        <v>4</v>
      </c>
      <c r="D41">
        <v>2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92</v>
      </c>
    </row>
    <row r="42" spans="3:11"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92</v>
      </c>
    </row>
    <row r="43" spans="3:11">
      <c r="C43">
        <v>4</v>
      </c>
      <c r="D43">
        <v>4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92</v>
      </c>
    </row>
    <row r="44" spans="3:11">
      <c r="C44">
        <v>9</v>
      </c>
      <c r="D44">
        <v>1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92</v>
      </c>
    </row>
    <row r="45" spans="3:11">
      <c r="C45">
        <v>9</v>
      </c>
      <c r="D45">
        <v>2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92</v>
      </c>
    </row>
    <row r="46" spans="3:11">
      <c r="C46">
        <v>9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92</v>
      </c>
    </row>
    <row r="47" spans="3:11">
      <c r="C47">
        <v>9</v>
      </c>
      <c r="D47">
        <v>4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92</v>
      </c>
    </row>
    <row r="48" spans="3:11">
      <c r="C48">
        <v>5</v>
      </c>
      <c r="D48">
        <v>1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92</v>
      </c>
    </row>
    <row r="49" spans="3:11">
      <c r="C49">
        <v>5</v>
      </c>
      <c r="D49">
        <v>2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92</v>
      </c>
    </row>
    <row r="50" spans="3:11">
      <c r="C50">
        <v>5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92</v>
      </c>
    </row>
    <row r="51" spans="3:11">
      <c r="C51">
        <v>5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92</v>
      </c>
    </row>
    <row r="52" spans="3:11">
      <c r="C52">
        <v>16</v>
      </c>
      <c r="D52">
        <v>1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92</v>
      </c>
    </row>
    <row r="53" spans="3:11">
      <c r="C53">
        <v>16</v>
      </c>
      <c r="D53">
        <v>2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92</v>
      </c>
    </row>
    <row r="54" spans="3:11">
      <c r="C54">
        <v>16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92</v>
      </c>
    </row>
    <row r="55" spans="3:11">
      <c r="C55">
        <v>16</v>
      </c>
      <c r="D55">
        <v>4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92</v>
      </c>
    </row>
    <row r="56" spans="3:11">
      <c r="C56">
        <v>12</v>
      </c>
      <c r="D56">
        <v>1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93</v>
      </c>
    </row>
    <row r="57" spans="3:11">
      <c r="C57">
        <v>12</v>
      </c>
      <c r="D57">
        <v>2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93</v>
      </c>
    </row>
    <row r="58" spans="3:11">
      <c r="C58">
        <v>12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93</v>
      </c>
    </row>
    <row r="59" spans="3:11">
      <c r="C59">
        <v>12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93</v>
      </c>
    </row>
    <row r="60" spans="3:11">
      <c r="C60">
        <v>8</v>
      </c>
      <c r="D60">
        <v>1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100</v>
      </c>
    </row>
    <row r="61" spans="3:11">
      <c r="C61">
        <v>8</v>
      </c>
      <c r="D61">
        <v>2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100</v>
      </c>
    </row>
    <row r="62" spans="3:11">
      <c r="C62">
        <v>8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100</v>
      </c>
    </row>
    <row r="63" spans="3:11">
      <c r="C63">
        <v>8</v>
      </c>
      <c r="D63">
        <v>4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100</v>
      </c>
    </row>
    <row r="64" spans="3:11">
      <c r="C64">
        <v>10</v>
      </c>
      <c r="D64">
        <v>1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92</v>
      </c>
    </row>
    <row r="65" spans="2:11">
      <c r="C65">
        <v>10</v>
      </c>
      <c r="D65">
        <v>2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92</v>
      </c>
    </row>
    <row r="66" spans="2:11">
      <c r="C66">
        <v>10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92</v>
      </c>
    </row>
    <row r="67" spans="2:11">
      <c r="C67">
        <v>10</v>
      </c>
      <c r="D67">
        <v>4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92</v>
      </c>
    </row>
    <row r="69" spans="2:11">
      <c r="C69" s="2" t="s">
        <v>9</v>
      </c>
    </row>
    <row r="70" spans="2:11">
      <c r="C70" s="3" t="s">
        <v>10</v>
      </c>
      <c r="E70" s="4" t="s">
        <v>2</v>
      </c>
      <c r="F70" s="4" t="s">
        <v>3</v>
      </c>
      <c r="G70" s="4" t="s">
        <v>4</v>
      </c>
      <c r="H70" s="4" t="s">
        <v>5</v>
      </c>
      <c r="I70" s="4" t="s">
        <v>6</v>
      </c>
      <c r="J70" s="5" t="s">
        <v>7</v>
      </c>
    </row>
    <row r="71" spans="2:11">
      <c r="B71" s="2" t="s">
        <v>14</v>
      </c>
      <c r="C71" s="3" t="s">
        <v>11</v>
      </c>
      <c r="E71" s="6"/>
      <c r="F71" s="6"/>
      <c r="G71" s="6"/>
      <c r="H71" s="6"/>
      <c r="I71" s="6">
        <v>4</v>
      </c>
      <c r="J71" s="6">
        <v>4</v>
      </c>
    </row>
    <row r="72" spans="2:11">
      <c r="C72" s="3" t="s">
        <v>12</v>
      </c>
      <c r="E72" s="2">
        <f>AVERAGE(Table9[Clarity of Report and format])</f>
        <v>3</v>
      </c>
      <c r="F72" s="2">
        <f>AVERAGE(Table9[Project Charter/ Design Plan])</f>
        <v>3</v>
      </c>
      <c r="G72" s="2">
        <f>AVERAGE(Table9[Clarity/Relevance/Heading/Numbering of Figures/Tables])</f>
        <v>3</v>
      </c>
      <c r="H72" s="2">
        <f>AVERAGE(Table9[Referencing])</f>
        <v>3</v>
      </c>
      <c r="I72" s="2">
        <f>AVERAGE(Table9[Process Hazard Identification])</f>
        <v>2.9545454545454546</v>
      </c>
      <c r="J72" s="2">
        <f>AVERAGE(Table9[HAZOP])</f>
        <v>2.8787878787878789</v>
      </c>
    </row>
    <row r="73" spans="2:11">
      <c r="C73" s="3" t="s">
        <v>13</v>
      </c>
      <c r="E73" s="6">
        <f>STDEV(Table9[Clarity of Report and format])</f>
        <v>0</v>
      </c>
      <c r="F73" s="6">
        <f>STDEV(Table9[Project Charter/ Design Plan])</f>
        <v>0</v>
      </c>
      <c r="G73" s="6">
        <f>STDEV(Table9[Clarity/Relevance/Heading/Numbering of Figures/Tables])</f>
        <v>0</v>
      </c>
      <c r="H73" s="6">
        <f>STDEV(Table9[Referencing])</f>
        <v>0</v>
      </c>
      <c r="I73" s="6">
        <f>STDEV(Table9[Process Hazard Identification])</f>
        <v>0.20989507868443227</v>
      </c>
      <c r="J73" s="6">
        <f>STDEV(Table9[HAZOP])</f>
        <v>0.32887460856458306</v>
      </c>
    </row>
    <row r="75" spans="2:11">
      <c r="C75" s="3" t="s">
        <v>16</v>
      </c>
      <c r="E75" s="3">
        <f>AVERAGE(I72:J72)</f>
        <v>2.916666666666667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B252-EF5D-0D41-A337-FCEF375D7D2D}">
  <dimension ref="B1:K70"/>
  <sheetViews>
    <sheetView topLeftCell="A48" workbookViewId="0">
      <selection activeCell="E71" sqref="E71"/>
    </sheetView>
  </sheetViews>
  <sheetFormatPr baseColWidth="10" defaultRowHeight="16"/>
  <cols>
    <col min="3" max="11" width="8.1640625" customWidth="1"/>
  </cols>
  <sheetData>
    <row r="1" spans="3:1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</row>
    <row r="2" spans="3:11">
      <c r="C2">
        <v>2</v>
      </c>
      <c r="D2">
        <v>1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94</v>
      </c>
    </row>
    <row r="3" spans="3:11"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94</v>
      </c>
    </row>
    <row r="4" spans="3:11">
      <c r="C4">
        <v>2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94</v>
      </c>
    </row>
    <row r="5" spans="3:11">
      <c r="C5">
        <v>2</v>
      </c>
      <c r="D5">
        <v>4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94</v>
      </c>
    </row>
    <row r="6" spans="3:11">
      <c r="C6">
        <v>1</v>
      </c>
      <c r="D6">
        <v>1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94</v>
      </c>
    </row>
    <row r="7" spans="3:11">
      <c r="C7">
        <v>1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94</v>
      </c>
    </row>
    <row r="8" spans="3:11">
      <c r="C8">
        <v>1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94</v>
      </c>
    </row>
    <row r="9" spans="3:11">
      <c r="C9">
        <v>1</v>
      </c>
      <c r="D9">
        <v>4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94</v>
      </c>
    </row>
    <row r="10" spans="3:11">
      <c r="C10">
        <v>6</v>
      </c>
      <c r="D10">
        <v>1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94</v>
      </c>
    </row>
    <row r="11" spans="3:11">
      <c r="C11">
        <v>6</v>
      </c>
      <c r="D11">
        <v>2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94</v>
      </c>
    </row>
    <row r="12" spans="3:11">
      <c r="C12">
        <v>6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94</v>
      </c>
    </row>
    <row r="13" spans="3:11">
      <c r="C13">
        <v>6</v>
      </c>
      <c r="D13">
        <v>4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94</v>
      </c>
    </row>
    <row r="14" spans="3:11">
      <c r="C14">
        <v>7</v>
      </c>
      <c r="D14">
        <v>1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90</v>
      </c>
    </row>
    <row r="15" spans="3:11">
      <c r="C15">
        <v>7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90</v>
      </c>
    </row>
    <row r="16" spans="3:11">
      <c r="C16">
        <v>7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90</v>
      </c>
    </row>
    <row r="17" spans="3:11">
      <c r="C17">
        <v>7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90</v>
      </c>
    </row>
    <row r="18" spans="3:11">
      <c r="C18">
        <v>7</v>
      </c>
      <c r="D18">
        <v>5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90</v>
      </c>
    </row>
    <row r="19" spans="3:11">
      <c r="C19">
        <v>14</v>
      </c>
      <c r="D19">
        <v>1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100</v>
      </c>
    </row>
    <row r="20" spans="3:11">
      <c r="C20">
        <v>14</v>
      </c>
      <c r="D20">
        <v>2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100</v>
      </c>
    </row>
    <row r="21" spans="3:11">
      <c r="C21">
        <v>14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100</v>
      </c>
    </row>
    <row r="22" spans="3:11">
      <c r="C22">
        <v>14</v>
      </c>
      <c r="D22">
        <v>4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100</v>
      </c>
    </row>
    <row r="23" spans="3:11">
      <c r="C23">
        <v>14</v>
      </c>
      <c r="D23">
        <v>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100</v>
      </c>
    </row>
    <row r="24" spans="3:11">
      <c r="C24">
        <v>3</v>
      </c>
      <c r="D24">
        <v>1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90</v>
      </c>
    </row>
    <row r="25" spans="3:11">
      <c r="C25">
        <v>3</v>
      </c>
      <c r="D25">
        <v>2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90</v>
      </c>
    </row>
    <row r="26" spans="3:11"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90</v>
      </c>
    </row>
    <row r="27" spans="3:11">
      <c r="C27">
        <v>3</v>
      </c>
      <c r="D27">
        <v>4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90</v>
      </c>
    </row>
    <row r="28" spans="3:11">
      <c r="C28">
        <v>11</v>
      </c>
      <c r="D28">
        <v>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94</v>
      </c>
    </row>
    <row r="29" spans="3:11">
      <c r="C29">
        <v>11</v>
      </c>
      <c r="D29">
        <v>2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94</v>
      </c>
    </row>
    <row r="30" spans="3:11">
      <c r="C30">
        <v>11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94</v>
      </c>
    </row>
    <row r="31" spans="3:11">
      <c r="C31">
        <v>11</v>
      </c>
      <c r="D31">
        <v>4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94</v>
      </c>
    </row>
    <row r="32" spans="3:11">
      <c r="C32">
        <v>13</v>
      </c>
      <c r="D32">
        <v>1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90</v>
      </c>
    </row>
    <row r="33" spans="3:11">
      <c r="C33">
        <v>13</v>
      </c>
      <c r="D33">
        <v>2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90</v>
      </c>
    </row>
    <row r="34" spans="3:11">
      <c r="C34">
        <v>13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90</v>
      </c>
    </row>
    <row r="35" spans="3:11">
      <c r="C35">
        <v>13</v>
      </c>
      <c r="D35">
        <v>4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90</v>
      </c>
    </row>
    <row r="36" spans="3:11">
      <c r="C36">
        <v>13</v>
      </c>
      <c r="D36">
        <v>5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90</v>
      </c>
    </row>
    <row r="37" spans="3:11">
      <c r="C37">
        <v>4</v>
      </c>
      <c r="D37">
        <v>1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94</v>
      </c>
    </row>
    <row r="38" spans="3:11">
      <c r="C38">
        <v>4</v>
      </c>
      <c r="D38">
        <v>2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94</v>
      </c>
    </row>
    <row r="39" spans="3:11">
      <c r="C39">
        <v>4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94</v>
      </c>
    </row>
    <row r="40" spans="3:11">
      <c r="C40">
        <v>4</v>
      </c>
      <c r="D40">
        <v>4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94</v>
      </c>
    </row>
    <row r="41" spans="3:11">
      <c r="C41">
        <v>9</v>
      </c>
      <c r="D41">
        <v>1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88</v>
      </c>
    </row>
    <row r="42" spans="3:11">
      <c r="C42">
        <v>9</v>
      </c>
      <c r="D42">
        <v>2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88</v>
      </c>
    </row>
    <row r="43" spans="3:11">
      <c r="C43">
        <v>9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88</v>
      </c>
    </row>
    <row r="44" spans="3:11">
      <c r="C44">
        <v>9</v>
      </c>
      <c r="D44">
        <v>4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88</v>
      </c>
    </row>
    <row r="45" spans="3:11">
      <c r="C45">
        <v>5</v>
      </c>
      <c r="D45">
        <v>1</v>
      </c>
      <c r="E45">
        <v>3</v>
      </c>
      <c r="F45">
        <v>3</v>
      </c>
      <c r="G45">
        <v>3</v>
      </c>
      <c r="H45">
        <v>2</v>
      </c>
      <c r="I45">
        <v>3</v>
      </c>
      <c r="J45">
        <v>3</v>
      </c>
      <c r="K45">
        <v>95</v>
      </c>
    </row>
    <row r="46" spans="3:11">
      <c r="C46">
        <v>5</v>
      </c>
      <c r="D46">
        <v>2</v>
      </c>
      <c r="E46">
        <v>3</v>
      </c>
      <c r="F46">
        <v>3</v>
      </c>
      <c r="G46">
        <v>3</v>
      </c>
      <c r="H46">
        <v>2</v>
      </c>
      <c r="I46">
        <v>3</v>
      </c>
      <c r="J46">
        <v>3</v>
      </c>
      <c r="K46">
        <v>95</v>
      </c>
    </row>
    <row r="47" spans="3:11">
      <c r="C47">
        <v>5</v>
      </c>
      <c r="D47">
        <v>3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95</v>
      </c>
    </row>
    <row r="48" spans="3:11">
      <c r="C48">
        <v>5</v>
      </c>
      <c r="D48">
        <v>4</v>
      </c>
      <c r="E48">
        <v>3</v>
      </c>
      <c r="F48">
        <v>3</v>
      </c>
      <c r="G48">
        <v>3</v>
      </c>
      <c r="H48">
        <v>2</v>
      </c>
      <c r="I48">
        <v>3</v>
      </c>
      <c r="J48">
        <v>3</v>
      </c>
      <c r="K48">
        <v>95</v>
      </c>
    </row>
    <row r="49" spans="3:11">
      <c r="C49">
        <v>12</v>
      </c>
      <c r="D49">
        <v>1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94</v>
      </c>
    </row>
    <row r="50" spans="3:11">
      <c r="C50">
        <v>12</v>
      </c>
      <c r="D50">
        <v>2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94</v>
      </c>
    </row>
    <row r="51" spans="3:11">
      <c r="C51">
        <v>12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94</v>
      </c>
    </row>
    <row r="52" spans="3:11">
      <c r="C52">
        <v>12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94</v>
      </c>
    </row>
    <row r="53" spans="3:11">
      <c r="C53">
        <v>12</v>
      </c>
      <c r="D53">
        <v>5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94</v>
      </c>
    </row>
    <row r="54" spans="3:11">
      <c r="C54">
        <v>8</v>
      </c>
      <c r="D54">
        <v>1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94</v>
      </c>
    </row>
    <row r="55" spans="3:11">
      <c r="C55">
        <v>8</v>
      </c>
      <c r="D55">
        <v>2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94</v>
      </c>
    </row>
    <row r="56" spans="3:11">
      <c r="C56">
        <v>8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94</v>
      </c>
    </row>
    <row r="57" spans="3:11">
      <c r="C57">
        <v>8</v>
      </c>
      <c r="D57">
        <v>4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94</v>
      </c>
    </row>
    <row r="58" spans="3:11">
      <c r="C58">
        <v>8</v>
      </c>
      <c r="D58">
        <v>5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94</v>
      </c>
    </row>
    <row r="59" spans="3:11">
      <c r="C59">
        <v>10</v>
      </c>
      <c r="D59">
        <v>1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94</v>
      </c>
    </row>
    <row r="60" spans="3:11">
      <c r="C60">
        <v>10</v>
      </c>
      <c r="D60">
        <v>2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94</v>
      </c>
    </row>
    <row r="61" spans="3:11">
      <c r="C61">
        <v>10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94</v>
      </c>
    </row>
    <row r="62" spans="3:11">
      <c r="C62">
        <v>10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94</v>
      </c>
    </row>
    <row r="64" spans="3:11">
      <c r="C64" s="2" t="s">
        <v>9</v>
      </c>
    </row>
    <row r="65" spans="2:10">
      <c r="C65" s="3" t="s">
        <v>10</v>
      </c>
      <c r="E65" s="4" t="s">
        <v>2</v>
      </c>
      <c r="F65" s="4" t="s">
        <v>3</v>
      </c>
      <c r="G65" s="4" t="s">
        <v>4</v>
      </c>
      <c r="H65" s="4" t="s">
        <v>5</v>
      </c>
      <c r="I65" s="4" t="s">
        <v>6</v>
      </c>
      <c r="J65" s="5" t="s">
        <v>7</v>
      </c>
    </row>
    <row r="66" spans="2:10">
      <c r="B66" s="2" t="s">
        <v>14</v>
      </c>
      <c r="C66" s="3" t="s">
        <v>11</v>
      </c>
      <c r="E66" s="6"/>
      <c r="F66" s="6"/>
      <c r="G66" s="6"/>
      <c r="H66" s="6"/>
      <c r="I66" s="6">
        <v>4</v>
      </c>
      <c r="J66" s="6">
        <v>4</v>
      </c>
    </row>
    <row r="67" spans="2:10">
      <c r="C67" s="3" t="s">
        <v>12</v>
      </c>
      <c r="E67" s="2">
        <f>AVERAGE(Table93[Clarity of Report and format])</f>
        <v>3</v>
      </c>
      <c r="F67" s="2">
        <f>AVERAGE(Table93[Project Charter/ Design Plan])</f>
        <v>3</v>
      </c>
      <c r="G67" s="2">
        <f>AVERAGE(Table93[Clarity/Relevance/Heading/Numbering of Figures/Tables])</f>
        <v>3</v>
      </c>
      <c r="H67" s="2">
        <f>AVERAGE(Table93[Referencing])</f>
        <v>2.9344262295081966</v>
      </c>
      <c r="I67" s="2">
        <f>AVERAGE(Table93[Process Hazard Identification])</f>
        <v>3</v>
      </c>
      <c r="J67" s="2">
        <f>AVERAGE(Table93[HAZOP])</f>
        <v>3</v>
      </c>
    </row>
    <row r="68" spans="2:10">
      <c r="C68" s="3" t="s">
        <v>13</v>
      </c>
      <c r="E68" s="6">
        <f>STDEV(Table93[Clarity of Report and format])</f>
        <v>0</v>
      </c>
      <c r="F68" s="6">
        <f>STDEV(Table93[Project Charter/ Design Plan])</f>
        <v>0</v>
      </c>
      <c r="G68" s="6">
        <f>STDEV(Table93[Clarity/Relevance/Heading/Numbering of Figures/Tables])</f>
        <v>0</v>
      </c>
      <c r="H68" s="6">
        <f>STDEV(Table93[Referencing])</f>
        <v>0.24958982745138703</v>
      </c>
      <c r="I68" s="6">
        <f>STDEV(Table93[Process Hazard Identification])</f>
        <v>0</v>
      </c>
      <c r="J68" s="6">
        <f>STDEV(Table93[HAZOP])</f>
        <v>0</v>
      </c>
    </row>
    <row r="70" spans="2:10">
      <c r="C70" s="3" t="s">
        <v>16</v>
      </c>
      <c r="E70" s="3">
        <f>AVERAGE(I67:J67)</f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94E-1C82-DF47-9A79-E31C54C2C4E0}">
  <dimension ref="B1:K76"/>
  <sheetViews>
    <sheetView topLeftCell="A51" workbookViewId="0">
      <selection activeCell="B72" sqref="B72"/>
    </sheetView>
  </sheetViews>
  <sheetFormatPr baseColWidth="10" defaultRowHeight="16"/>
  <cols>
    <col min="3" max="11" width="8.1640625" customWidth="1"/>
  </cols>
  <sheetData>
    <row r="1" spans="3:1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</row>
    <row r="2" spans="3:11">
      <c r="C2">
        <v>2</v>
      </c>
      <c r="D2">
        <v>1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94</v>
      </c>
    </row>
    <row r="3" spans="3:11"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94</v>
      </c>
    </row>
    <row r="4" spans="3:11">
      <c r="C4">
        <v>2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94</v>
      </c>
    </row>
    <row r="5" spans="3:11">
      <c r="C5">
        <v>2</v>
      </c>
      <c r="D5">
        <v>4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94</v>
      </c>
    </row>
    <row r="6" spans="3:11">
      <c r="C6">
        <v>1</v>
      </c>
      <c r="D6">
        <v>1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94</v>
      </c>
    </row>
    <row r="7" spans="3:11">
      <c r="C7">
        <v>1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94</v>
      </c>
    </row>
    <row r="8" spans="3:11">
      <c r="C8">
        <v>1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94</v>
      </c>
    </row>
    <row r="9" spans="3:11">
      <c r="C9">
        <v>1</v>
      </c>
      <c r="D9">
        <v>4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94</v>
      </c>
    </row>
    <row r="10" spans="3:11">
      <c r="C10">
        <v>1</v>
      </c>
      <c r="D10">
        <v>5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94</v>
      </c>
    </row>
    <row r="11" spans="3:11">
      <c r="C11">
        <v>15</v>
      </c>
      <c r="D11">
        <v>1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100</v>
      </c>
    </row>
    <row r="12" spans="3:11">
      <c r="C12">
        <v>15</v>
      </c>
      <c r="D12">
        <v>2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100</v>
      </c>
    </row>
    <row r="13" spans="3:11">
      <c r="C13">
        <v>15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100</v>
      </c>
    </row>
    <row r="14" spans="3:11">
      <c r="C14">
        <v>15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100</v>
      </c>
    </row>
    <row r="15" spans="3:11">
      <c r="C15">
        <v>6</v>
      </c>
      <c r="D15">
        <v>1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100</v>
      </c>
    </row>
    <row r="16" spans="3:11">
      <c r="C16">
        <v>6</v>
      </c>
      <c r="D16">
        <v>2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100</v>
      </c>
    </row>
    <row r="17" spans="3:11">
      <c r="C17">
        <v>6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100</v>
      </c>
    </row>
    <row r="18" spans="3:11">
      <c r="C18">
        <v>6</v>
      </c>
      <c r="D18">
        <v>4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100</v>
      </c>
    </row>
    <row r="19" spans="3:11">
      <c r="C19">
        <v>7</v>
      </c>
      <c r="D19">
        <v>1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100</v>
      </c>
    </row>
    <row r="20" spans="3:11">
      <c r="C20">
        <v>7</v>
      </c>
      <c r="D20">
        <v>2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100</v>
      </c>
    </row>
    <row r="21" spans="3:11">
      <c r="C21">
        <v>7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100</v>
      </c>
    </row>
    <row r="22" spans="3:11">
      <c r="C22">
        <v>7</v>
      </c>
      <c r="D22">
        <v>4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100</v>
      </c>
    </row>
    <row r="23" spans="3:11">
      <c r="C23">
        <v>7</v>
      </c>
      <c r="D23">
        <v>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100</v>
      </c>
    </row>
    <row r="24" spans="3:11">
      <c r="C24">
        <v>14</v>
      </c>
      <c r="D24">
        <v>1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100</v>
      </c>
    </row>
    <row r="25" spans="3:11">
      <c r="C25">
        <v>14</v>
      </c>
      <c r="D25">
        <v>2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100</v>
      </c>
    </row>
    <row r="26" spans="3:11">
      <c r="C26">
        <v>14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100</v>
      </c>
    </row>
    <row r="27" spans="3:11">
      <c r="C27">
        <v>14</v>
      </c>
      <c r="D27">
        <v>4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100</v>
      </c>
    </row>
    <row r="28" spans="3:11">
      <c r="C28">
        <v>3</v>
      </c>
      <c r="D28">
        <v>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94</v>
      </c>
    </row>
    <row r="29" spans="3:11">
      <c r="C29">
        <v>3</v>
      </c>
      <c r="D29">
        <v>2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94</v>
      </c>
    </row>
    <row r="30" spans="3:11"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94</v>
      </c>
    </row>
    <row r="31" spans="3:11">
      <c r="C31">
        <v>3</v>
      </c>
      <c r="D31">
        <v>4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94</v>
      </c>
    </row>
    <row r="32" spans="3:11">
      <c r="C32">
        <v>11</v>
      </c>
      <c r="D32">
        <v>1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94</v>
      </c>
    </row>
    <row r="33" spans="3:11">
      <c r="C33">
        <v>11</v>
      </c>
      <c r="D33">
        <v>2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94</v>
      </c>
    </row>
    <row r="34" spans="3:11">
      <c r="C34">
        <v>11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94</v>
      </c>
    </row>
    <row r="35" spans="3:11">
      <c r="C35">
        <v>11</v>
      </c>
      <c r="D35">
        <v>4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94</v>
      </c>
    </row>
    <row r="36" spans="3:11">
      <c r="C36">
        <v>11</v>
      </c>
      <c r="D36">
        <v>5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94</v>
      </c>
    </row>
    <row r="37" spans="3:11">
      <c r="C37">
        <v>13</v>
      </c>
      <c r="D37">
        <v>1</v>
      </c>
      <c r="E37">
        <v>3</v>
      </c>
      <c r="F37">
        <v>3</v>
      </c>
      <c r="G37">
        <v>3</v>
      </c>
      <c r="H37">
        <v>3</v>
      </c>
      <c r="I37">
        <v>3</v>
      </c>
      <c r="J37">
        <v>2</v>
      </c>
      <c r="K37">
        <v>86</v>
      </c>
    </row>
    <row r="38" spans="3:11">
      <c r="C38">
        <v>13</v>
      </c>
      <c r="D38">
        <v>2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86</v>
      </c>
    </row>
    <row r="39" spans="3:11">
      <c r="C39">
        <v>13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2</v>
      </c>
      <c r="K39">
        <v>86</v>
      </c>
    </row>
    <row r="40" spans="3:11">
      <c r="C40">
        <v>13</v>
      </c>
      <c r="D40">
        <v>4</v>
      </c>
      <c r="E40">
        <v>3</v>
      </c>
      <c r="F40">
        <v>3</v>
      </c>
      <c r="G40">
        <v>3</v>
      </c>
      <c r="H40">
        <v>3</v>
      </c>
      <c r="I40">
        <v>3</v>
      </c>
      <c r="J40">
        <v>2</v>
      </c>
      <c r="K40">
        <v>86</v>
      </c>
    </row>
    <row r="41" spans="3:11">
      <c r="C41">
        <v>13</v>
      </c>
      <c r="D41">
        <v>5</v>
      </c>
      <c r="E41">
        <v>3</v>
      </c>
      <c r="F41">
        <v>3</v>
      </c>
      <c r="G41">
        <v>3</v>
      </c>
      <c r="H41">
        <v>3</v>
      </c>
      <c r="I41">
        <v>3</v>
      </c>
      <c r="J41">
        <v>2</v>
      </c>
      <c r="K41">
        <v>86</v>
      </c>
    </row>
    <row r="42" spans="3:11">
      <c r="C42">
        <v>17</v>
      </c>
      <c r="D42">
        <v>1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94</v>
      </c>
    </row>
    <row r="43" spans="3:11">
      <c r="C43">
        <v>17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94</v>
      </c>
    </row>
    <row r="44" spans="3:11">
      <c r="C44">
        <v>17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94</v>
      </c>
    </row>
    <row r="45" spans="3:11">
      <c r="C45">
        <v>17</v>
      </c>
      <c r="D45">
        <v>4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94</v>
      </c>
    </row>
    <row r="46" spans="3:11">
      <c r="C46">
        <v>4</v>
      </c>
      <c r="D46">
        <v>1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94</v>
      </c>
    </row>
    <row r="47" spans="3:11">
      <c r="C47">
        <v>4</v>
      </c>
      <c r="D47">
        <v>2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94</v>
      </c>
    </row>
    <row r="48" spans="3:11">
      <c r="C48">
        <v>4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94</v>
      </c>
    </row>
    <row r="49" spans="3:11">
      <c r="C49">
        <v>4</v>
      </c>
      <c r="D49">
        <v>4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94</v>
      </c>
    </row>
    <row r="50" spans="3:11">
      <c r="C50">
        <v>5</v>
      </c>
      <c r="D50">
        <v>1</v>
      </c>
      <c r="E50">
        <v>3</v>
      </c>
      <c r="F50">
        <v>3</v>
      </c>
      <c r="G50">
        <v>3</v>
      </c>
      <c r="H50">
        <v>3</v>
      </c>
      <c r="I50">
        <v>3</v>
      </c>
      <c r="J50">
        <v>2</v>
      </c>
      <c r="K50">
        <v>88</v>
      </c>
    </row>
    <row r="51" spans="3:11">
      <c r="C51">
        <v>5</v>
      </c>
      <c r="D51">
        <v>2</v>
      </c>
      <c r="E51">
        <v>3</v>
      </c>
      <c r="F51">
        <v>3</v>
      </c>
      <c r="G51">
        <v>3</v>
      </c>
      <c r="H51">
        <v>3</v>
      </c>
      <c r="I51">
        <v>3</v>
      </c>
      <c r="J51">
        <v>2</v>
      </c>
      <c r="K51">
        <v>88</v>
      </c>
    </row>
    <row r="52" spans="3:11">
      <c r="C52">
        <v>5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2</v>
      </c>
      <c r="K52">
        <v>88</v>
      </c>
    </row>
    <row r="53" spans="3:11">
      <c r="C53">
        <v>5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>
        <v>2</v>
      </c>
      <c r="K53">
        <v>88</v>
      </c>
    </row>
    <row r="54" spans="3:11">
      <c r="C54">
        <v>5</v>
      </c>
      <c r="D54">
        <v>5</v>
      </c>
      <c r="E54">
        <v>3</v>
      </c>
      <c r="F54">
        <v>3</v>
      </c>
      <c r="G54">
        <v>3</v>
      </c>
      <c r="H54">
        <v>3</v>
      </c>
      <c r="I54">
        <v>3</v>
      </c>
      <c r="J54">
        <v>2</v>
      </c>
      <c r="K54">
        <v>88</v>
      </c>
    </row>
    <row r="55" spans="3:11">
      <c r="C55">
        <v>9</v>
      </c>
      <c r="D55">
        <v>1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97</v>
      </c>
    </row>
    <row r="56" spans="3:11">
      <c r="C56">
        <v>9</v>
      </c>
      <c r="D56">
        <v>2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97</v>
      </c>
    </row>
    <row r="57" spans="3:11">
      <c r="C57">
        <v>12</v>
      </c>
      <c r="D57">
        <v>1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100</v>
      </c>
    </row>
    <row r="58" spans="3:11">
      <c r="C58">
        <v>12</v>
      </c>
      <c r="D58">
        <v>2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100</v>
      </c>
    </row>
    <row r="59" spans="3:11">
      <c r="C59">
        <v>12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100</v>
      </c>
    </row>
    <row r="60" spans="3:11">
      <c r="C60">
        <v>12</v>
      </c>
      <c r="D60">
        <v>4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100</v>
      </c>
    </row>
    <row r="61" spans="3:11">
      <c r="C61">
        <v>8</v>
      </c>
      <c r="D61">
        <v>1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94</v>
      </c>
    </row>
    <row r="62" spans="3:11">
      <c r="C62">
        <v>8</v>
      </c>
      <c r="D62">
        <v>2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94</v>
      </c>
    </row>
    <row r="63" spans="3:11">
      <c r="C63">
        <v>8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94</v>
      </c>
    </row>
    <row r="64" spans="3:11">
      <c r="C64">
        <v>8</v>
      </c>
      <c r="D64">
        <v>4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94</v>
      </c>
    </row>
    <row r="65" spans="2:11">
      <c r="C65">
        <v>10</v>
      </c>
      <c r="D65">
        <v>1</v>
      </c>
      <c r="E65">
        <v>3</v>
      </c>
      <c r="F65">
        <v>3</v>
      </c>
      <c r="G65">
        <v>3</v>
      </c>
      <c r="H65">
        <v>3</v>
      </c>
      <c r="I65">
        <v>3</v>
      </c>
      <c r="J65">
        <v>3</v>
      </c>
      <c r="K65">
        <v>94</v>
      </c>
    </row>
    <row r="66" spans="2:11">
      <c r="C66">
        <v>10</v>
      </c>
      <c r="D66">
        <v>2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94</v>
      </c>
    </row>
    <row r="67" spans="2:11">
      <c r="C67">
        <v>10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94</v>
      </c>
    </row>
    <row r="68" spans="2:11">
      <c r="C68">
        <v>10</v>
      </c>
      <c r="D68">
        <v>4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94</v>
      </c>
    </row>
    <row r="70" spans="2:11">
      <c r="C70" s="2" t="s">
        <v>9</v>
      </c>
    </row>
    <row r="71" spans="2:11">
      <c r="C71" s="3" t="s">
        <v>10</v>
      </c>
      <c r="E71" s="4" t="s">
        <v>2</v>
      </c>
      <c r="F71" s="4" t="s">
        <v>3</v>
      </c>
      <c r="G71" s="4" t="s">
        <v>4</v>
      </c>
      <c r="H71" s="4" t="s">
        <v>5</v>
      </c>
      <c r="I71" s="4" t="s">
        <v>6</v>
      </c>
      <c r="J71" s="5" t="s">
        <v>7</v>
      </c>
    </row>
    <row r="72" spans="2:11">
      <c r="B72" s="2" t="s">
        <v>14</v>
      </c>
      <c r="C72" s="3" t="s">
        <v>11</v>
      </c>
      <c r="E72" s="6"/>
      <c r="F72" s="6"/>
      <c r="G72" s="6"/>
      <c r="H72" s="6"/>
      <c r="I72" s="6">
        <v>4</v>
      </c>
      <c r="J72" s="6">
        <v>4</v>
      </c>
    </row>
    <row r="73" spans="2:11">
      <c r="C73" s="3" t="s">
        <v>12</v>
      </c>
      <c r="E73" s="2">
        <f>AVERAGE(Table94[Clarity of Report and format])</f>
        <v>3</v>
      </c>
      <c r="F73" s="2">
        <f>AVERAGE(Table94[Project Charter/ Design Plan])</f>
        <v>3</v>
      </c>
      <c r="G73" s="2">
        <f>AVERAGE(Table94[Clarity/Relevance/Heading/Numbering of Figures/Tables])</f>
        <v>3</v>
      </c>
      <c r="H73" s="2">
        <f>AVERAGE(Table94[Referencing])</f>
        <v>3</v>
      </c>
      <c r="I73" s="2">
        <f>AVERAGE(Table94[Process Hazard Identification])</f>
        <v>3</v>
      </c>
      <c r="J73" s="2">
        <f>AVERAGE(Table94[HAZOP])</f>
        <v>2.8507462686567164</v>
      </c>
    </row>
    <row r="74" spans="2:11">
      <c r="C74" s="3" t="s">
        <v>13</v>
      </c>
      <c r="E74" s="6">
        <f>STDEV(Table94[Clarity of Report and format])</f>
        <v>0</v>
      </c>
      <c r="F74" s="6">
        <f>STDEV(Table94[Project Charter/ Design Plan])</f>
        <v>0</v>
      </c>
      <c r="G74" s="6">
        <f>STDEV(Table94[Clarity/Relevance/Heading/Numbering of Figures/Tables])</f>
        <v>0</v>
      </c>
      <c r="H74" s="6">
        <f>STDEV(Table94[Referencing])</f>
        <v>0</v>
      </c>
      <c r="I74" s="6">
        <f>STDEV(Table94[Process Hazard Identification])</f>
        <v>0</v>
      </c>
      <c r="J74" s="6">
        <f>STDEV(Table94[HAZOP])</f>
        <v>0.35902778415670222</v>
      </c>
    </row>
    <row r="76" spans="2:11">
      <c r="C76" s="3" t="s">
        <v>15</v>
      </c>
      <c r="E76" s="3">
        <f>AVERAGE(I73:J73)</f>
        <v>2.9253731343283582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 396 Fall 2019 HW 6</vt:lpstr>
      <vt:lpstr>CHE 396 Fall 2018 HW 6</vt:lpstr>
      <vt:lpstr>CHE 396 Fall 2017 HW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2020-05-18T18:51:53Z</dcterms:created>
  <dcterms:modified xsi:type="dcterms:W3CDTF">2020-05-18T20:54:30Z</dcterms:modified>
</cp:coreProperties>
</file>