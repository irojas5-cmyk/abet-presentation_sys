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22" i="1" l="1"/>
  <c r="J22" i="1"/>
  <c r="I22" i="1"/>
  <c r="B20" i="1"/>
  <c r="C20" i="1"/>
  <c r="J29" i="1" s="1"/>
  <c r="D20" i="1"/>
  <c r="B21" i="1"/>
  <c r="C21" i="1"/>
  <c r="J27" i="1" s="1"/>
  <c r="D21" i="1"/>
  <c r="B22" i="1"/>
  <c r="C22" i="1"/>
  <c r="D22" i="1"/>
  <c r="B23" i="1"/>
  <c r="C23" i="1"/>
  <c r="D23" i="1"/>
  <c r="K24" i="1" s="1"/>
  <c r="B24" i="1"/>
  <c r="I25" i="1" s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C19" i="1"/>
  <c r="D19" i="1"/>
  <c r="B19" i="1"/>
  <c r="I27" i="1" s="1"/>
  <c r="I24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I28" i="1" l="1"/>
  <c r="K29" i="1"/>
  <c r="J28" i="1"/>
  <c r="K28" i="1"/>
  <c r="J25" i="1"/>
  <c r="K25" i="1"/>
  <c r="K27" i="1"/>
  <c r="J24" i="1"/>
  <c r="I29" i="1"/>
  <c r="D15" i="1" l="1"/>
  <c r="C15" i="1"/>
  <c r="B1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16" i="1"/>
  <c r="C16" i="1"/>
  <c r="D16" i="1"/>
  <c r="I35" i="1" l="1"/>
  <c r="I34" i="1"/>
  <c r="J30" i="1"/>
  <c r="I30" i="1"/>
  <c r="K30" i="1" l="1"/>
</calcChain>
</file>

<file path=xl/sharedStrings.xml><?xml version="1.0" encoding="utf-8"?>
<sst xmlns="http://schemas.openxmlformats.org/spreadsheetml/2006/main" count="57" uniqueCount="50">
  <si>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</si>
  <si>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</si>
  <si>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</si>
  <si>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</si>
  <si>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</si>
  <si>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</si>
  <si>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</si>
  <si>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</si>
  <si>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</si>
  <si>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</si>
  <si>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</si>
  <si>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</si>
  <si>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</si>
  <si>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</si>
  <si>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</si>
  <si>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</si>
  <si>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</si>
  <si>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</si>
  <si>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</si>
  <si>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</si>
  <si>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</si>
  <si>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</si>
  <si>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Performance Indicators:</t>
  </si>
  <si>
    <t>Performance Indicators used</t>
  </si>
  <si>
    <t>`</t>
  </si>
  <si>
    <r>
      <rPr>
        <b/>
        <sz val="11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</si>
  <si>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1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</si>
  <si>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1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</si>
  <si>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RAW DATA</t>
  </si>
  <si>
    <t>CHE 433 Fall 2019</t>
  </si>
  <si>
    <t>Process Simulation with ASPEN Plus</t>
  </si>
  <si>
    <t>Student Learning Outcome 2</t>
  </si>
  <si>
    <t>An ability to apply engineering design to produce solutions that meet specified needs with consideration of public health, safety, and welfare,</t>
  </si>
  <si>
    <t xml:space="preserve"> as well as global, cultural, social, environmental, and economic factors.</t>
  </si>
  <si>
    <t>3. Use of approaches</t>
  </si>
  <si>
    <t>4. Understanding how areas interrelate and demonstrates ability to integrate prior knowledge into a new problem</t>
  </si>
  <si>
    <t>7. Measurement awareness of errors</t>
  </si>
  <si>
    <t>Assessment of student outcome: 2 (SO2)</t>
  </si>
  <si>
    <t>Prepared by: Michael Caracotsios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</si>
  <si>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 Developing a design strategy</t>
    </r>
  </si>
  <si>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 Supporting design procedure with documentation and references</t>
    </r>
  </si>
  <si>
    <t>6. Developing a solution that includes realistic constraints (cultural, social, environmental, economic, health and safety factors)</t>
  </si>
  <si>
    <t>&lt;70</t>
  </si>
  <si>
    <t>70-90</t>
  </si>
  <si>
    <t>&gt;90</t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</si>
  <si>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Applying engineering and/or scientific principles correctly to design practical processes</t>
    </r>
  </si>
  <si>
    <t>Assessment rubric: Homework Problems 4 and 5</t>
  </si>
  <si>
    <t>4A,4B,5B,5D</t>
  </si>
  <si>
    <t>4C,4D,4E,5D</t>
  </si>
  <si>
    <t>5A,5C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</si>
</sst>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4" fillId="6" borderId="0" xfId="0" applyFont="1" applyFill="1"/>
    <xf numFmtId="2" fontId="0" fillId="0" borderId="0" xfId="0" applyNumberFormat="1" applyFill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left" indent="1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1" fillId="2" borderId="0" xfId="0" applyFont="1" applyFill="1"/>
    <xf numFmtId="0" fontId="0" fillId="0" borderId="0" xfId="0" applyFont="1" applyFill="1"/>
    <xf numFmtId="0" fontId="1" fillId="5" borderId="2" xfId="0" applyFont="1" applyFill="1" applyBorder="1"/>
    <xf numFmtId="0" fontId="0" fillId="7" borderId="10" xfId="0" applyFill="1" applyBorder="1"/>
    <xf numFmtId="0" fontId="0" fillId="0" borderId="2" xfId="0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6" borderId="0" xfId="0" applyFont="1" applyFill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5"/>
  <sheetViews>
    <sheetView tabSelected="1" workbookViewId="0"/>
  </sheetViews>
  <sheetFormatPr defaultRowHeight="15" x14ac:dyDescent="0.25"/>
  <cols>
    <col min="1" max="1" width="27.7109375" customWidth="1"/>
    <col min="2" max="3" width="12.42578125" customWidth="1"/>
    <col min="4" max="4" width="12.28515625" customWidth="1"/>
    <col min="8" max="8" width="14.5703125" customWidth="1"/>
    <col min="9" max="9" width="13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1" x14ac:dyDescent="0.25">
      <c r="A1" s="11" t="s">
        <v>29</v>
      </c>
      <c r="F1" s="58" t="s">
        <v>31</v>
      </c>
      <c r="G1" s="58"/>
      <c r="H1" s="58"/>
      <c r="R1" s="59" t="s">
        <v>28</v>
      </c>
      <c r="S1" s="60"/>
      <c r="T1" s="60"/>
    </row>
    <row r="2" spans="1:21" ht="15.75" x14ac:dyDescent="0.25">
      <c r="A2" s="1" t="s">
        <v>30</v>
      </c>
      <c r="F2" s="10" t="s">
        <v>32</v>
      </c>
      <c r="R2" s="50">
        <v>1</v>
      </c>
      <c r="S2" s="50">
        <v>2</v>
      </c>
      <c r="T2" s="50">
        <v>5</v>
      </c>
    </row>
    <row r="3" spans="1:21" x14ac:dyDescent="0.25">
      <c r="A3" s="3" t="s">
        <v>37</v>
      </c>
      <c r="F3" t="s">
        <v>33</v>
      </c>
      <c r="R3" s="51">
        <v>87</v>
      </c>
      <c r="S3" s="51">
        <v>100</v>
      </c>
      <c r="T3" s="51">
        <v>82</v>
      </c>
    </row>
    <row r="4" spans="1:21" x14ac:dyDescent="0.25">
      <c r="A4" s="3" t="s">
        <v>46</v>
      </c>
      <c r="B4" s="3"/>
      <c r="C4" s="3"/>
      <c r="D4" s="3"/>
      <c r="R4" s="36">
        <v>66</v>
      </c>
      <c r="S4" s="36">
        <v>100</v>
      </c>
      <c r="T4" s="36">
        <v>74</v>
      </c>
    </row>
    <row r="5" spans="1:21" x14ac:dyDescent="0.25">
      <c r="A5" s="3" t="s">
        <v>38</v>
      </c>
      <c r="B5" s="3"/>
      <c r="C5" s="3"/>
      <c r="D5" s="3"/>
      <c r="E5" s="3"/>
      <c r="F5" s="61" t="s">
        <v>22</v>
      </c>
      <c r="G5" s="61"/>
      <c r="H5" s="61"/>
      <c r="R5" s="36">
        <v>85</v>
      </c>
      <c r="S5" s="36">
        <v>90</v>
      </c>
      <c r="T5" s="36">
        <v>82</v>
      </c>
    </row>
    <row r="6" spans="1:21" x14ac:dyDescent="0.25">
      <c r="A6" s="3"/>
      <c r="B6" s="3"/>
      <c r="C6" s="3"/>
      <c r="D6" s="3"/>
      <c r="E6" s="48"/>
      <c r="F6" s="3" t="s">
        <v>39</v>
      </c>
      <c r="G6" s="3"/>
      <c r="R6" s="36">
        <v>83</v>
      </c>
      <c r="S6" s="36">
        <v>80</v>
      </c>
      <c r="T6" s="36">
        <v>84</v>
      </c>
    </row>
    <row r="7" spans="1:21" x14ac:dyDescent="0.25">
      <c r="A7" s="3"/>
      <c r="E7" s="4"/>
      <c r="F7" t="s">
        <v>45</v>
      </c>
      <c r="R7" s="36">
        <v>95</v>
      </c>
      <c r="S7" s="36">
        <v>96</v>
      </c>
      <c r="T7" s="36">
        <v>93</v>
      </c>
    </row>
    <row r="8" spans="1:21" x14ac:dyDescent="0.25">
      <c r="F8" t="s">
        <v>34</v>
      </c>
      <c r="R8" s="36">
        <v>95</v>
      </c>
      <c r="S8" s="36">
        <v>96</v>
      </c>
      <c r="T8" s="36">
        <v>93</v>
      </c>
    </row>
    <row r="9" spans="1:21" x14ac:dyDescent="0.25">
      <c r="A9" s="47" t="s">
        <v>16</v>
      </c>
      <c r="B9" s="5"/>
      <c r="C9" s="5"/>
      <c r="F9" t="s">
        <v>35</v>
      </c>
      <c r="R9" s="36">
        <v>73</v>
      </c>
      <c r="S9" s="36">
        <v>100</v>
      </c>
      <c r="T9" s="36">
        <v>100</v>
      </c>
    </row>
    <row r="10" spans="1:21" x14ac:dyDescent="0.25">
      <c r="A10" s="5">
        <v>1</v>
      </c>
      <c r="B10" s="5" t="s">
        <v>1</v>
      </c>
      <c r="C10" s="5"/>
      <c r="E10" s="4"/>
      <c r="F10" t="s">
        <v>40</v>
      </c>
      <c r="R10" s="36">
        <v>94</v>
      </c>
      <c r="S10" s="36">
        <v>100</v>
      </c>
      <c r="T10" s="36">
        <v>98</v>
      </c>
    </row>
    <row r="11" spans="1:21" x14ac:dyDescent="0.25">
      <c r="A11" s="5">
        <v>2</v>
      </c>
      <c r="B11" s="5" t="s">
        <v>2</v>
      </c>
      <c r="C11" s="5"/>
      <c r="F11" t="s">
        <v>41</v>
      </c>
      <c r="R11" s="36">
        <v>95</v>
      </c>
      <c r="S11" s="36">
        <v>100</v>
      </c>
      <c r="T11" s="36">
        <v>93</v>
      </c>
    </row>
    <row r="12" spans="1:21" x14ac:dyDescent="0.25">
      <c r="A12" s="5">
        <v>3</v>
      </c>
      <c r="B12" s="5" t="s">
        <v>3</v>
      </c>
      <c r="C12" s="5"/>
      <c r="F12" t="s">
        <v>36</v>
      </c>
      <c r="R12" s="36">
        <v>46</v>
      </c>
      <c r="S12" s="36">
        <v>92</v>
      </c>
      <c r="T12" s="36">
        <v>100</v>
      </c>
    </row>
    <row r="13" spans="1:21" x14ac:dyDescent="0.25">
      <c r="A13" s="5"/>
      <c r="B13" s="5"/>
      <c r="C13" s="5"/>
      <c r="R13" s="36">
        <v>85</v>
      </c>
      <c r="S13" s="36">
        <v>100</v>
      </c>
      <c r="T13" s="36">
        <v>95</v>
      </c>
      <c r="U13" t="s">
        <v>24</v>
      </c>
    </row>
    <row r="14" spans="1:21" x14ac:dyDescent="0.25">
      <c r="H14" s="11" t="s">
        <v>19</v>
      </c>
      <c r="R14" s="36">
        <v>100</v>
      </c>
      <c r="S14" s="36">
        <v>100</v>
      </c>
      <c r="T14" s="36">
        <v>100</v>
      </c>
    </row>
    <row r="15" spans="1:21" x14ac:dyDescent="0.25">
      <c r="A15" s="44" t="s">
        <v>23</v>
      </c>
      <c r="B15" s="49">
        <f>H16</f>
        <v>1</v>
      </c>
      <c r="C15" s="49">
        <f>H17</f>
        <v>2</v>
      </c>
      <c r="D15" s="49">
        <f>H18</f>
        <v>5</v>
      </c>
      <c r="E15" s="44"/>
      <c r="H15" s="13" t="s">
        <v>20</v>
      </c>
      <c r="I15" s="13" t="s">
        <v>18</v>
      </c>
      <c r="J15" s="13" t="s">
        <v>21</v>
      </c>
      <c r="K15" s="13" t="s">
        <v>25</v>
      </c>
      <c r="L15" s="13" t="s">
        <v>26</v>
      </c>
      <c r="M15" s="13" t="s">
        <v>27</v>
      </c>
      <c r="R15" s="36">
        <v>93</v>
      </c>
      <c r="S15" s="36">
        <v>75</v>
      </c>
      <c r="T15" s="36">
        <v>88</v>
      </c>
    </row>
    <row r="16" spans="1:21" x14ac:dyDescent="0.25">
      <c r="A16" s="45" t="s">
        <v>18</v>
      </c>
      <c r="B16" s="46" t="str">
        <f>I16</f>
        <v>4A,4B,5B,5D</v>
      </c>
      <c r="C16" s="46" t="str">
        <f>I17</f>
        <v>4C,4D,4E,5D</v>
      </c>
      <c r="D16" s="46" t="str">
        <f>I18</f>
        <v>5A,5C</v>
      </c>
      <c r="E16" s="46"/>
      <c r="F16" s="2"/>
      <c r="G16" s="2"/>
      <c r="H16" s="38">
        <v>1</v>
      </c>
      <c r="I16" s="27" t="s">
        <v>47</v>
      </c>
      <c r="J16" s="27">
        <v>100</v>
      </c>
      <c r="K16" s="33" t="s">
        <v>42</v>
      </c>
      <c r="L16" s="34" t="s">
        <v>43</v>
      </c>
      <c r="M16" s="33" t="s">
        <v>44</v>
      </c>
      <c r="R16" s="36">
        <v>94</v>
      </c>
      <c r="S16" s="36">
        <v>100</v>
      </c>
      <c r="T16" s="36">
        <v>98</v>
      </c>
    </row>
    <row r="17" spans="1:20" x14ac:dyDescent="0.25">
      <c r="B17" s="2"/>
      <c r="H17" s="39">
        <v>2</v>
      </c>
      <c r="I17" s="28" t="s">
        <v>48</v>
      </c>
      <c r="J17" s="28">
        <v>100</v>
      </c>
      <c r="K17" s="29" t="s">
        <v>42</v>
      </c>
      <c r="L17" s="30" t="s">
        <v>43</v>
      </c>
      <c r="M17" s="29" t="s">
        <v>44</v>
      </c>
      <c r="R17" s="36">
        <v>87</v>
      </c>
      <c r="S17" s="36">
        <v>100</v>
      </c>
      <c r="T17" s="36">
        <v>95</v>
      </c>
    </row>
    <row r="18" spans="1:20" x14ac:dyDescent="0.25">
      <c r="A18" s="35" t="s">
        <v>6</v>
      </c>
      <c r="B18" s="2"/>
      <c r="H18" s="40">
        <v>5</v>
      </c>
      <c r="I18" s="31" t="s">
        <v>49</v>
      </c>
      <c r="J18" s="31">
        <v>100</v>
      </c>
      <c r="K18" s="32" t="s">
        <v>42</v>
      </c>
      <c r="L18" s="32" t="s">
        <v>43</v>
      </c>
      <c r="M18" s="32" t="s">
        <v>44</v>
      </c>
      <c r="R18" s="36">
        <v>85</v>
      </c>
      <c r="S18" s="36">
        <v>100</v>
      </c>
      <c r="T18" s="36">
        <v>95</v>
      </c>
    </row>
    <row r="19" spans="1:20" x14ac:dyDescent="0.25">
      <c r="A19" s="9">
        <v>1</v>
      </c>
      <c r="B19" s="9">
        <f>IF(R3&gt;=90,3,IF(AND(R3&lt;90,R3&gt;=70),2,1))</f>
        <v>2</v>
      </c>
      <c r="C19" s="9">
        <f t="shared" ref="C19:D19" si="0">IF(S3&gt;=90,3,IF(AND(S3&lt;90,S3&gt;=70),2,1))</f>
        <v>3</v>
      </c>
      <c r="D19" s="9">
        <f t="shared" si="0"/>
        <v>2</v>
      </c>
      <c r="R19" s="36">
        <v>83</v>
      </c>
      <c r="S19" s="36">
        <v>80</v>
      </c>
      <c r="T19" s="36">
        <v>84</v>
      </c>
    </row>
    <row r="20" spans="1:20" x14ac:dyDescent="0.25">
      <c r="A20" s="9">
        <f>A19+1</f>
        <v>2</v>
      </c>
      <c r="B20" s="9">
        <f t="shared" ref="B20:B57" si="1">IF(R4&gt;=90,3,IF(AND(R4&lt;90,R4&gt;=70),2,1))</f>
        <v>1</v>
      </c>
      <c r="C20" s="9">
        <f t="shared" ref="C20:C57" si="2">IF(S4&gt;=90,3,IF(AND(S4&lt;90,S4&gt;=70),2,1))</f>
        <v>3</v>
      </c>
      <c r="D20" s="9">
        <f t="shared" ref="D20:D57" si="3">IF(T4&gt;=90,3,IF(AND(T4&lt;90,T4&gt;=70),2,1))</f>
        <v>2</v>
      </c>
      <c r="R20" s="36">
        <v>46</v>
      </c>
      <c r="S20" s="36">
        <v>92</v>
      </c>
      <c r="T20" s="36">
        <v>100</v>
      </c>
    </row>
    <row r="21" spans="1:20" x14ac:dyDescent="0.25">
      <c r="A21" s="9">
        <f t="shared" ref="A21:A57" si="4">A20+1</f>
        <v>3</v>
      </c>
      <c r="B21" s="9">
        <f t="shared" si="1"/>
        <v>2</v>
      </c>
      <c r="C21" s="9">
        <f t="shared" si="2"/>
        <v>3</v>
      </c>
      <c r="D21" s="9">
        <f t="shared" si="3"/>
        <v>2</v>
      </c>
      <c r="H21" s="52" t="s">
        <v>14</v>
      </c>
      <c r="I21" s="53"/>
      <c r="J21" s="53"/>
      <c r="K21" s="54"/>
      <c r="L21" s="4"/>
      <c r="R21" s="36">
        <v>86</v>
      </c>
      <c r="S21" s="36">
        <v>90</v>
      </c>
      <c r="T21" s="36">
        <v>83</v>
      </c>
    </row>
    <row r="22" spans="1:20" x14ac:dyDescent="0.25">
      <c r="A22" s="9">
        <f t="shared" si="4"/>
        <v>4</v>
      </c>
      <c r="B22" s="9">
        <f t="shared" si="1"/>
        <v>2</v>
      </c>
      <c r="C22" s="9">
        <f t="shared" si="2"/>
        <v>2</v>
      </c>
      <c r="D22" s="9">
        <f t="shared" si="3"/>
        <v>2</v>
      </c>
      <c r="H22" s="19" t="s">
        <v>17</v>
      </c>
      <c r="I22" s="20">
        <f>H16</f>
        <v>1</v>
      </c>
      <c r="J22" s="20">
        <f>H17</f>
        <v>2</v>
      </c>
      <c r="K22" s="20">
        <f>H18</f>
        <v>5</v>
      </c>
      <c r="L22" s="4"/>
      <c r="R22" s="36">
        <v>93</v>
      </c>
      <c r="S22" s="36">
        <v>75</v>
      </c>
      <c r="T22" s="36">
        <v>88</v>
      </c>
    </row>
    <row r="23" spans="1:20" x14ac:dyDescent="0.25">
      <c r="A23" s="9">
        <f t="shared" si="4"/>
        <v>5</v>
      </c>
      <c r="B23" s="9">
        <f t="shared" si="1"/>
        <v>3</v>
      </c>
      <c r="C23" s="9">
        <f t="shared" si="2"/>
        <v>3</v>
      </c>
      <c r="D23" s="9">
        <f t="shared" si="3"/>
        <v>3</v>
      </c>
      <c r="H23" s="14" t="s">
        <v>15</v>
      </c>
      <c r="I23" s="15">
        <v>2</v>
      </c>
      <c r="J23" s="15">
        <v>2</v>
      </c>
      <c r="K23" s="15">
        <v>2</v>
      </c>
      <c r="L23" s="6"/>
      <c r="R23" s="36">
        <v>66</v>
      </c>
      <c r="S23" s="36">
        <v>100</v>
      </c>
      <c r="T23" s="36">
        <v>74</v>
      </c>
    </row>
    <row r="24" spans="1:20" x14ac:dyDescent="0.25">
      <c r="A24" s="9">
        <f t="shared" si="4"/>
        <v>6</v>
      </c>
      <c r="B24" s="9">
        <f t="shared" si="1"/>
        <v>3</v>
      </c>
      <c r="C24" s="9">
        <f t="shared" si="2"/>
        <v>3</v>
      </c>
      <c r="D24" s="9">
        <f t="shared" si="3"/>
        <v>3</v>
      </c>
      <c r="H24" s="14" t="s">
        <v>4</v>
      </c>
      <c r="I24" s="16">
        <f>AVERAGE(B19:B57)</f>
        <v>2.2564102564102564</v>
      </c>
      <c r="J24" s="16">
        <f>AVERAGE(C19:C57)</f>
        <v>2.8717948717948718</v>
      </c>
      <c r="K24" s="16">
        <f>AVERAGE(D19:D57)</f>
        <v>2.641025641025641</v>
      </c>
      <c r="L24" s="12"/>
      <c r="R24" s="36">
        <v>83</v>
      </c>
      <c r="S24" s="36">
        <v>80</v>
      </c>
      <c r="T24" s="36">
        <v>84</v>
      </c>
    </row>
    <row r="25" spans="1:20" x14ac:dyDescent="0.25">
      <c r="A25" s="9">
        <f t="shared" si="4"/>
        <v>7</v>
      </c>
      <c r="B25" s="9">
        <f t="shared" si="1"/>
        <v>2</v>
      </c>
      <c r="C25" s="9">
        <f t="shared" si="2"/>
        <v>3</v>
      </c>
      <c r="D25" s="9">
        <f t="shared" si="3"/>
        <v>3</v>
      </c>
      <c r="H25" s="14" t="s">
        <v>5</v>
      </c>
      <c r="I25" s="16">
        <f>STDEV(B19:B57)</f>
        <v>0.63734435532171985</v>
      </c>
      <c r="J25" s="16">
        <f>STDEV(C19:C57)</f>
        <v>0.33868842842937069</v>
      </c>
      <c r="K25" s="16">
        <f>STDEV(D19:D57)</f>
        <v>0.4859705149805888</v>
      </c>
      <c r="L25" s="12"/>
      <c r="R25" s="36">
        <v>77</v>
      </c>
      <c r="S25" s="36">
        <v>100</v>
      </c>
      <c r="T25" s="36">
        <v>100</v>
      </c>
    </row>
    <row r="26" spans="1:20" x14ac:dyDescent="0.25">
      <c r="A26" s="9">
        <f t="shared" si="4"/>
        <v>8</v>
      </c>
      <c r="B26" s="9">
        <f t="shared" si="1"/>
        <v>3</v>
      </c>
      <c r="C26" s="9">
        <f t="shared" si="2"/>
        <v>3</v>
      </c>
      <c r="D26" s="9">
        <f t="shared" si="3"/>
        <v>3</v>
      </c>
      <c r="H26" s="15"/>
      <c r="I26" s="15"/>
      <c r="J26" s="15"/>
      <c r="K26" s="15"/>
      <c r="L26" s="4"/>
      <c r="R26" s="36">
        <v>95</v>
      </c>
      <c r="S26" s="36">
        <v>100</v>
      </c>
      <c r="T26" s="36">
        <v>93</v>
      </c>
    </row>
    <row r="27" spans="1:20" x14ac:dyDescent="0.25">
      <c r="A27" s="9">
        <f t="shared" si="4"/>
        <v>9</v>
      </c>
      <c r="B27" s="9">
        <f t="shared" si="1"/>
        <v>3</v>
      </c>
      <c r="C27" s="9">
        <f t="shared" si="2"/>
        <v>3</v>
      </c>
      <c r="D27" s="9">
        <f t="shared" si="3"/>
        <v>3</v>
      </c>
      <c r="H27" s="17" t="s">
        <v>9</v>
      </c>
      <c r="I27" s="15">
        <f>COUNTIF(B19:B57,3)</f>
        <v>14</v>
      </c>
      <c r="J27" s="15">
        <f t="shared" ref="J27:K27" si="5">COUNTIF(C19:C57,3)</f>
        <v>34</v>
      </c>
      <c r="K27" s="15">
        <f t="shared" si="5"/>
        <v>25</v>
      </c>
      <c r="L27" s="4"/>
      <c r="R27" s="36">
        <v>85</v>
      </c>
      <c r="S27" s="36">
        <v>90</v>
      </c>
      <c r="T27" s="36">
        <v>82</v>
      </c>
    </row>
    <row r="28" spans="1:20" x14ac:dyDescent="0.25">
      <c r="A28" s="9">
        <f t="shared" si="4"/>
        <v>10</v>
      </c>
      <c r="B28" s="9">
        <f t="shared" si="1"/>
        <v>1</v>
      </c>
      <c r="C28" s="9">
        <f t="shared" si="2"/>
        <v>3</v>
      </c>
      <c r="D28" s="9">
        <f t="shared" si="3"/>
        <v>3</v>
      </c>
      <c r="H28" s="17" t="s">
        <v>10</v>
      </c>
      <c r="I28" s="15">
        <f>COUNTIF(B19:B57,2)</f>
        <v>21</v>
      </c>
      <c r="J28" s="15">
        <f t="shared" ref="J28:K28" si="6">COUNTIF(C19:C57,2)</f>
        <v>5</v>
      </c>
      <c r="K28" s="15">
        <f t="shared" si="6"/>
        <v>14</v>
      </c>
      <c r="L28" s="4"/>
      <c r="R28" s="36">
        <v>88</v>
      </c>
      <c r="S28" s="36">
        <v>90</v>
      </c>
      <c r="T28" s="36">
        <v>91</v>
      </c>
    </row>
    <row r="29" spans="1:20" x14ac:dyDescent="0.25">
      <c r="A29" s="9">
        <f t="shared" si="4"/>
        <v>11</v>
      </c>
      <c r="B29" s="9">
        <f t="shared" si="1"/>
        <v>2</v>
      </c>
      <c r="C29" s="9">
        <f t="shared" si="2"/>
        <v>3</v>
      </c>
      <c r="D29" s="9">
        <f t="shared" si="3"/>
        <v>3</v>
      </c>
      <c r="H29" s="43" t="s">
        <v>7</v>
      </c>
      <c r="I29" s="18">
        <f>COUNTIF(B19:B57,1)</f>
        <v>4</v>
      </c>
      <c r="J29" s="18">
        <f t="shared" ref="J29:K29" si="7">COUNTIF(C19:C57,1)</f>
        <v>0</v>
      </c>
      <c r="K29" s="18">
        <f t="shared" si="7"/>
        <v>0</v>
      </c>
      <c r="L29" s="4"/>
      <c r="R29" s="36">
        <v>84</v>
      </c>
      <c r="S29" s="36">
        <v>95</v>
      </c>
      <c r="T29" s="36">
        <v>88</v>
      </c>
    </row>
    <row r="30" spans="1:20" x14ac:dyDescent="0.25">
      <c r="A30" s="9">
        <f t="shared" si="4"/>
        <v>12</v>
      </c>
      <c r="B30" s="9">
        <f t="shared" si="1"/>
        <v>3</v>
      </c>
      <c r="C30" s="9">
        <f t="shared" si="2"/>
        <v>3</v>
      </c>
      <c r="D30" s="9">
        <f t="shared" si="3"/>
        <v>3</v>
      </c>
      <c r="H30" s="42" t="s">
        <v>8</v>
      </c>
      <c r="I30" s="42">
        <f>SUM(I26:I29)</f>
        <v>39</v>
      </c>
      <c r="J30" s="42">
        <f t="shared" ref="J30:K30" si="8">SUM(J26:J29)</f>
        <v>39</v>
      </c>
      <c r="K30" s="42">
        <f t="shared" si="8"/>
        <v>39</v>
      </c>
      <c r="L30" s="4"/>
      <c r="R30" s="36">
        <v>95</v>
      </c>
      <c r="S30" s="36">
        <v>100</v>
      </c>
      <c r="T30" s="36">
        <v>94</v>
      </c>
    </row>
    <row r="31" spans="1:20" x14ac:dyDescent="0.25">
      <c r="A31" s="9">
        <f t="shared" si="4"/>
        <v>13</v>
      </c>
      <c r="B31" s="9">
        <f t="shared" si="1"/>
        <v>3</v>
      </c>
      <c r="C31" s="9">
        <f t="shared" si="2"/>
        <v>2</v>
      </c>
      <c r="D31" s="9">
        <f t="shared" si="3"/>
        <v>2</v>
      </c>
      <c r="L31" s="4"/>
      <c r="R31" s="36">
        <v>100</v>
      </c>
      <c r="S31" s="36">
        <v>100</v>
      </c>
      <c r="T31" s="36">
        <v>100</v>
      </c>
    </row>
    <row r="32" spans="1:20" x14ac:dyDescent="0.25">
      <c r="A32" s="9">
        <f t="shared" si="4"/>
        <v>14</v>
      </c>
      <c r="B32" s="9">
        <f t="shared" si="1"/>
        <v>3</v>
      </c>
      <c r="C32" s="9">
        <f t="shared" si="2"/>
        <v>3</v>
      </c>
      <c r="D32" s="9">
        <f t="shared" si="3"/>
        <v>3</v>
      </c>
      <c r="H32" s="55" t="s">
        <v>13</v>
      </c>
      <c r="I32" s="56"/>
      <c r="J32" s="57"/>
      <c r="K32" s="21"/>
      <c r="L32" s="4"/>
      <c r="R32" s="36">
        <v>88</v>
      </c>
      <c r="S32" s="36">
        <v>90</v>
      </c>
      <c r="T32" s="36">
        <v>91</v>
      </c>
    </row>
    <row r="33" spans="1:20" x14ac:dyDescent="0.25">
      <c r="A33" s="9">
        <f t="shared" si="4"/>
        <v>15</v>
      </c>
      <c r="B33" s="9">
        <f t="shared" si="1"/>
        <v>2</v>
      </c>
      <c r="C33" s="9">
        <f t="shared" si="2"/>
        <v>3</v>
      </c>
      <c r="D33" s="9">
        <f t="shared" si="3"/>
        <v>3</v>
      </c>
      <c r="H33" s="26" t="s">
        <v>0</v>
      </c>
      <c r="I33" s="41">
        <v>2</v>
      </c>
      <c r="J33" s="26"/>
      <c r="K33" s="22"/>
      <c r="L33" s="4"/>
      <c r="R33" s="36">
        <v>86</v>
      </c>
      <c r="S33" s="36">
        <v>90</v>
      </c>
      <c r="T33" s="36">
        <v>90</v>
      </c>
    </row>
    <row r="34" spans="1:20" x14ac:dyDescent="0.25">
      <c r="A34" s="9">
        <f t="shared" si="4"/>
        <v>16</v>
      </c>
      <c r="B34" s="9">
        <f t="shared" si="1"/>
        <v>2</v>
      </c>
      <c r="C34" s="9">
        <f t="shared" si="2"/>
        <v>3</v>
      </c>
      <c r="D34" s="9">
        <f t="shared" si="3"/>
        <v>3</v>
      </c>
      <c r="H34" s="22" t="s">
        <v>11</v>
      </c>
      <c r="I34" s="23">
        <f>AVERAGE(I24:K24)</f>
        <v>2.5897435897435894</v>
      </c>
      <c r="J34" s="23"/>
      <c r="K34" s="23"/>
      <c r="L34" s="12"/>
      <c r="R34" s="36">
        <v>98</v>
      </c>
      <c r="S34" s="36">
        <v>100</v>
      </c>
      <c r="T34" s="36">
        <v>100</v>
      </c>
    </row>
    <row r="35" spans="1:20" x14ac:dyDescent="0.25">
      <c r="A35" s="9">
        <f t="shared" si="4"/>
        <v>17</v>
      </c>
      <c r="B35" s="9">
        <f t="shared" si="1"/>
        <v>2</v>
      </c>
      <c r="C35" s="9">
        <f t="shared" si="2"/>
        <v>2</v>
      </c>
      <c r="D35" s="9">
        <f t="shared" si="3"/>
        <v>2</v>
      </c>
      <c r="H35" s="24" t="s">
        <v>12</v>
      </c>
      <c r="I35" s="25">
        <f>_xlfn.STDEV.P(I24:K24)</f>
        <v>0.2538332035028632</v>
      </c>
      <c r="J35" s="25"/>
      <c r="K35" s="25"/>
      <c r="L35" s="12"/>
      <c r="R35" s="36">
        <v>86</v>
      </c>
      <c r="S35" s="36">
        <v>90</v>
      </c>
      <c r="T35" s="36">
        <v>90</v>
      </c>
    </row>
    <row r="36" spans="1:20" x14ac:dyDescent="0.25">
      <c r="A36" s="9">
        <f t="shared" si="4"/>
        <v>18</v>
      </c>
      <c r="B36" s="9">
        <f t="shared" si="1"/>
        <v>1</v>
      </c>
      <c r="C36" s="9">
        <f t="shared" si="2"/>
        <v>3</v>
      </c>
      <c r="D36" s="9">
        <f t="shared" si="3"/>
        <v>3</v>
      </c>
      <c r="R36" s="36">
        <v>95</v>
      </c>
      <c r="S36" s="36">
        <v>100</v>
      </c>
      <c r="T36" s="36">
        <v>94</v>
      </c>
    </row>
    <row r="37" spans="1:20" x14ac:dyDescent="0.25">
      <c r="A37" s="9">
        <f t="shared" si="4"/>
        <v>19</v>
      </c>
      <c r="B37" s="9">
        <f t="shared" si="1"/>
        <v>2</v>
      </c>
      <c r="C37" s="9">
        <f t="shared" si="2"/>
        <v>3</v>
      </c>
      <c r="D37" s="9">
        <f t="shared" si="3"/>
        <v>2</v>
      </c>
      <c r="R37" s="36">
        <v>77</v>
      </c>
      <c r="S37" s="36">
        <v>100</v>
      </c>
      <c r="T37" s="36">
        <v>100</v>
      </c>
    </row>
    <row r="38" spans="1:20" x14ac:dyDescent="0.25">
      <c r="A38" s="9">
        <f t="shared" si="4"/>
        <v>20</v>
      </c>
      <c r="B38" s="9">
        <f t="shared" si="1"/>
        <v>3</v>
      </c>
      <c r="C38" s="9">
        <f t="shared" si="2"/>
        <v>2</v>
      </c>
      <c r="D38" s="9">
        <f t="shared" si="3"/>
        <v>2</v>
      </c>
      <c r="R38" s="36">
        <v>84</v>
      </c>
      <c r="S38" s="36">
        <v>95</v>
      </c>
      <c r="T38" s="36">
        <v>88</v>
      </c>
    </row>
    <row r="39" spans="1:20" x14ac:dyDescent="0.25">
      <c r="A39" s="9">
        <f t="shared" si="4"/>
        <v>21</v>
      </c>
      <c r="B39" s="9">
        <f t="shared" si="1"/>
        <v>1</v>
      </c>
      <c r="C39" s="9">
        <f t="shared" si="2"/>
        <v>3</v>
      </c>
      <c r="D39" s="9">
        <f t="shared" si="3"/>
        <v>2</v>
      </c>
      <c r="R39" s="36">
        <v>98</v>
      </c>
      <c r="S39" s="36">
        <v>100</v>
      </c>
      <c r="T39" s="36">
        <v>100</v>
      </c>
    </row>
    <row r="40" spans="1:20" x14ac:dyDescent="0.25">
      <c r="A40" s="9">
        <f t="shared" si="4"/>
        <v>22</v>
      </c>
      <c r="B40" s="9">
        <f t="shared" si="1"/>
        <v>2</v>
      </c>
      <c r="C40" s="9">
        <f t="shared" si="2"/>
        <v>2</v>
      </c>
      <c r="D40" s="9">
        <f t="shared" si="3"/>
        <v>2</v>
      </c>
      <c r="R40" s="36">
        <v>86</v>
      </c>
      <c r="S40" s="36">
        <v>90</v>
      </c>
      <c r="T40" s="36">
        <v>83</v>
      </c>
    </row>
    <row r="41" spans="1:20" x14ac:dyDescent="0.25">
      <c r="A41" s="9">
        <f t="shared" si="4"/>
        <v>23</v>
      </c>
      <c r="B41" s="9">
        <f t="shared" si="1"/>
        <v>2</v>
      </c>
      <c r="C41" s="9">
        <f t="shared" si="2"/>
        <v>3</v>
      </c>
      <c r="D41" s="9">
        <f t="shared" si="3"/>
        <v>3</v>
      </c>
      <c r="R41" s="37">
        <v>73</v>
      </c>
      <c r="S41" s="37">
        <v>100</v>
      </c>
      <c r="T41" s="37">
        <v>100</v>
      </c>
    </row>
    <row r="42" spans="1:20" x14ac:dyDescent="0.25">
      <c r="A42" s="9">
        <f t="shared" si="4"/>
        <v>24</v>
      </c>
      <c r="B42" s="9">
        <f t="shared" si="1"/>
        <v>3</v>
      </c>
      <c r="C42" s="9">
        <f t="shared" si="2"/>
        <v>3</v>
      </c>
      <c r="D42" s="9">
        <f t="shared" si="3"/>
        <v>3</v>
      </c>
    </row>
    <row r="43" spans="1:20" x14ac:dyDescent="0.25">
      <c r="A43" s="9">
        <f t="shared" si="4"/>
        <v>25</v>
      </c>
      <c r="B43" s="9">
        <f t="shared" si="1"/>
        <v>2</v>
      </c>
      <c r="C43" s="9">
        <f t="shared" si="2"/>
        <v>3</v>
      </c>
      <c r="D43" s="9">
        <f t="shared" si="3"/>
        <v>2</v>
      </c>
    </row>
    <row r="44" spans="1:20" x14ac:dyDescent="0.25">
      <c r="A44" s="9">
        <f t="shared" si="4"/>
        <v>26</v>
      </c>
      <c r="B44" s="9">
        <f t="shared" si="1"/>
        <v>2</v>
      </c>
      <c r="C44" s="9">
        <f t="shared" si="2"/>
        <v>3</v>
      </c>
      <c r="D44" s="9">
        <f t="shared" si="3"/>
        <v>3</v>
      </c>
    </row>
    <row r="45" spans="1:20" x14ac:dyDescent="0.25">
      <c r="A45" s="9">
        <f t="shared" si="4"/>
        <v>27</v>
      </c>
      <c r="B45" s="9">
        <f t="shared" si="1"/>
        <v>2</v>
      </c>
      <c r="C45" s="9">
        <f t="shared" si="2"/>
        <v>3</v>
      </c>
      <c r="D45" s="9">
        <f t="shared" si="3"/>
        <v>2</v>
      </c>
    </row>
    <row r="46" spans="1:20" x14ac:dyDescent="0.25">
      <c r="A46" s="9">
        <f t="shared" si="4"/>
        <v>28</v>
      </c>
      <c r="B46" s="9">
        <f t="shared" si="1"/>
        <v>3</v>
      </c>
      <c r="C46" s="9">
        <f t="shared" si="2"/>
        <v>3</v>
      </c>
      <c r="D46" s="9">
        <f t="shared" si="3"/>
        <v>3</v>
      </c>
    </row>
    <row r="47" spans="1:20" x14ac:dyDescent="0.25">
      <c r="A47" s="9">
        <f t="shared" si="4"/>
        <v>29</v>
      </c>
      <c r="B47" s="9">
        <f t="shared" si="1"/>
        <v>3</v>
      </c>
      <c r="C47" s="9">
        <f t="shared" si="2"/>
        <v>3</v>
      </c>
      <c r="D47" s="9">
        <f t="shared" si="3"/>
        <v>3</v>
      </c>
    </row>
    <row r="48" spans="1:20" x14ac:dyDescent="0.25">
      <c r="A48" s="9">
        <f t="shared" si="4"/>
        <v>30</v>
      </c>
      <c r="B48" s="9">
        <f t="shared" si="1"/>
        <v>2</v>
      </c>
      <c r="C48" s="9">
        <f t="shared" si="2"/>
        <v>3</v>
      </c>
      <c r="D48" s="9">
        <f t="shared" si="3"/>
        <v>3</v>
      </c>
    </row>
    <row r="49" spans="1:7" x14ac:dyDescent="0.25">
      <c r="A49" s="9">
        <f t="shared" si="4"/>
        <v>31</v>
      </c>
      <c r="B49" s="9">
        <f t="shared" si="1"/>
        <v>2</v>
      </c>
      <c r="C49" s="9">
        <f t="shared" si="2"/>
        <v>3</v>
      </c>
      <c r="D49" s="9">
        <f t="shared" si="3"/>
        <v>3</v>
      </c>
    </row>
    <row r="50" spans="1:7" x14ac:dyDescent="0.25">
      <c r="A50" s="9">
        <f t="shared" si="4"/>
        <v>32</v>
      </c>
      <c r="B50" s="9">
        <f t="shared" si="1"/>
        <v>3</v>
      </c>
      <c r="C50" s="9">
        <f t="shared" si="2"/>
        <v>3</v>
      </c>
      <c r="D50" s="9">
        <f t="shared" si="3"/>
        <v>3</v>
      </c>
    </row>
    <row r="51" spans="1:7" x14ac:dyDescent="0.25">
      <c r="A51" s="9">
        <f t="shared" si="4"/>
        <v>33</v>
      </c>
      <c r="B51" s="9">
        <f t="shared" si="1"/>
        <v>2</v>
      </c>
      <c r="C51" s="9">
        <f t="shared" si="2"/>
        <v>3</v>
      </c>
      <c r="D51" s="9">
        <f t="shared" si="3"/>
        <v>3</v>
      </c>
    </row>
    <row r="52" spans="1:7" x14ac:dyDescent="0.25">
      <c r="A52" s="9">
        <f t="shared" si="4"/>
        <v>34</v>
      </c>
      <c r="B52" s="9">
        <f t="shared" si="1"/>
        <v>3</v>
      </c>
      <c r="C52" s="9">
        <f t="shared" si="2"/>
        <v>3</v>
      </c>
      <c r="D52" s="9">
        <f t="shared" si="3"/>
        <v>3</v>
      </c>
    </row>
    <row r="53" spans="1:7" x14ac:dyDescent="0.25">
      <c r="A53" s="9">
        <f t="shared" si="4"/>
        <v>35</v>
      </c>
      <c r="B53" s="9">
        <f t="shared" si="1"/>
        <v>2</v>
      </c>
      <c r="C53" s="9">
        <f t="shared" si="2"/>
        <v>3</v>
      </c>
      <c r="D53" s="9">
        <f t="shared" si="3"/>
        <v>3</v>
      </c>
      <c r="F53" s="4"/>
    </row>
    <row r="54" spans="1:7" x14ac:dyDescent="0.25">
      <c r="A54" s="9">
        <f t="shared" si="4"/>
        <v>36</v>
      </c>
      <c r="B54" s="9">
        <f t="shared" si="1"/>
        <v>2</v>
      </c>
      <c r="C54" s="9">
        <f t="shared" si="2"/>
        <v>3</v>
      </c>
      <c r="D54" s="9">
        <f t="shared" si="3"/>
        <v>2</v>
      </c>
      <c r="F54" s="4"/>
    </row>
    <row r="55" spans="1:7" x14ac:dyDescent="0.25">
      <c r="A55" s="9">
        <f t="shared" si="4"/>
        <v>37</v>
      </c>
      <c r="B55" s="9">
        <f t="shared" si="1"/>
        <v>3</v>
      </c>
      <c r="C55" s="9">
        <f t="shared" si="2"/>
        <v>3</v>
      </c>
      <c r="D55" s="9">
        <f t="shared" si="3"/>
        <v>3</v>
      </c>
      <c r="F55" s="12"/>
    </row>
    <row r="56" spans="1:7" x14ac:dyDescent="0.25">
      <c r="A56" s="9">
        <f t="shared" si="4"/>
        <v>38</v>
      </c>
      <c r="B56" s="9">
        <f t="shared" si="1"/>
        <v>2</v>
      </c>
      <c r="C56" s="9">
        <f t="shared" si="2"/>
        <v>3</v>
      </c>
      <c r="D56" s="9">
        <f t="shared" si="3"/>
        <v>2</v>
      </c>
      <c r="F56" s="12"/>
    </row>
    <row r="57" spans="1:7" x14ac:dyDescent="0.25">
      <c r="A57" s="9">
        <f t="shared" si="4"/>
        <v>39</v>
      </c>
      <c r="B57" s="9">
        <f t="shared" si="1"/>
        <v>2</v>
      </c>
      <c r="C57" s="9">
        <f t="shared" si="2"/>
        <v>3</v>
      </c>
      <c r="D57" s="9">
        <f t="shared" si="3"/>
        <v>3</v>
      </c>
      <c r="F57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8" spans="9:13" x14ac:dyDescent="0.25">
      <c r="I68" s="2"/>
      <c r="J68" s="2"/>
      <c r="K68" s="2"/>
      <c r="L68" s="2"/>
      <c r="M68" s="2"/>
    </row>
    <row r="137" spans="1:19" x14ac:dyDescent="0.25">
      <c r="R137" s="4"/>
      <c r="S137" s="4"/>
    </row>
    <row r="138" spans="1:19" x14ac:dyDescent="0.25">
      <c r="R138" s="4"/>
      <c r="S138" s="4"/>
    </row>
    <row r="139" spans="1:19" x14ac:dyDescent="0.25">
      <c r="R139" s="4"/>
      <c r="S139" s="4"/>
    </row>
    <row r="140" spans="1:19" x14ac:dyDescent="0.25">
      <c r="R140" s="4"/>
      <c r="S140" s="4"/>
    </row>
    <row r="141" spans="1:19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x14ac:dyDescent="0.25">
      <c r="A153" s="4"/>
      <c r="B153" s="4"/>
      <c r="C153" s="4"/>
      <c r="D153" s="4"/>
      <c r="E153" s="4"/>
      <c r="F153" s="4"/>
      <c r="G153" s="4"/>
      <c r="H153" s="6"/>
      <c r="I153" s="6"/>
      <c r="J153" s="6"/>
      <c r="K153" s="6"/>
      <c r="L153" s="6"/>
      <c r="M153" s="6"/>
      <c r="N153" s="4"/>
      <c r="O153" s="4"/>
      <c r="P153" s="4"/>
      <c r="Q153" s="4"/>
      <c r="R153" s="4"/>
      <c r="S153" s="4"/>
    </row>
    <row r="154" spans="1:1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x14ac:dyDescent="0.25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x14ac:dyDescent="0.25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x14ac:dyDescent="0.25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x14ac:dyDescent="0.25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x14ac:dyDescent="0.25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9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9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</sheetData>
  <sortState ref="D19:D39">
    <sortCondition ref="D19:D39"/>
  </sortState>
  <mergeCells count="5">
    <mergeCell ref="H21:K21"/>
    <mergeCell ref="H32:J32"/>
    <mergeCell ref="F1:H1"/>
    <mergeCell ref="R1:T1"/>
    <mergeCell ref="F5:H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Michael</cp:lastModifiedBy>
  <dcterms:created xsi:type="dcterms:W3CDTF">2013-01-15T05:38:26Z</dcterms:created>
  <dcterms:modified xsi:type="dcterms:W3CDTF">2020-05-14T19:23:17Z</dcterms:modified>
</cp:coreProperties>
</file>