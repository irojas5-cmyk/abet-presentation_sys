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ocuments\ABET_2020-InProgress\2020_SelfStudyReport\Criterion3-StudentOutcomes\CourseRubricAssessment\CHE 381-382\CourseAssessments\"/>
    </mc:Choice>
  </mc:AlternateContent>
  <xr:revisionPtr revIDLastSave="0" documentId="13_ncr:1_{6C95DEB8-C85D-4CDF-9292-EC8996C3D3B9}" xr6:coauthVersionLast="44" xr6:coauthVersionMax="44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74" i="1" l="1"/>
  <c r="A71" i="1"/>
  <c r="X85" i="1" l="1"/>
  <c r="X84" i="1"/>
  <c r="M85" i="1"/>
  <c r="M84" i="1"/>
  <c r="V20" i="1" l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S85" i="1" l="1"/>
  <c r="R85" i="1"/>
  <c r="Q85" i="1"/>
  <c r="P85" i="1"/>
  <c r="S84" i="1"/>
  <c r="R84" i="1"/>
  <c r="Q84" i="1"/>
  <c r="P84" i="1"/>
  <c r="O20" i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W85" i="1"/>
  <c r="W84" i="1"/>
  <c r="L85" i="1"/>
  <c r="K85" i="1"/>
  <c r="J85" i="1"/>
  <c r="I85" i="1"/>
  <c r="H85" i="1"/>
  <c r="G85" i="1"/>
  <c r="F85" i="1"/>
  <c r="L84" i="1"/>
  <c r="K84" i="1"/>
  <c r="J84" i="1"/>
  <c r="I84" i="1"/>
  <c r="H84" i="1"/>
  <c r="G84" i="1"/>
  <c r="F84" i="1"/>
  <c r="E85" i="1"/>
  <c r="E84" i="1"/>
  <c r="D95" i="1" l="1"/>
  <c r="D94" i="1"/>
  <c r="D85" i="1"/>
  <c r="C85" i="1"/>
  <c r="B85" i="1"/>
  <c r="D84" i="1"/>
  <c r="C84" i="1"/>
  <c r="B84" i="1"/>
  <c r="B87" i="1" l="1"/>
  <c r="G95" i="1"/>
  <c r="G94" i="1"/>
  <c r="B95" i="1"/>
  <c r="B94" i="1"/>
  <c r="H95" i="1"/>
  <c r="E95" i="1"/>
  <c r="H94" i="1"/>
  <c r="E94" i="1"/>
  <c r="C94" i="1"/>
  <c r="C95" i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2" i="1" s="1"/>
  <c r="A73" i="1" s="1"/>
  <c r="A75" i="1" s="1"/>
  <c r="A76" i="1" s="1"/>
  <c r="A77" i="1" s="1"/>
  <c r="A78" i="1" s="1"/>
</calcChain>
</file>

<file path=xl/sharedStrings.xml><?xml version="1.0" encoding="utf-8"?>
<sst xmlns="http://schemas.openxmlformats.org/spreadsheetml/2006/main" count="75" uniqueCount="44">
  <si>
    <t>Rubric item</t>
  </si>
  <si>
    <t>Unsatisfactory</t>
  </si>
  <si>
    <t>Developing</t>
  </si>
  <si>
    <t>Satisfactory</t>
  </si>
  <si>
    <t>Average</t>
  </si>
  <si>
    <t>Std Dev</t>
  </si>
  <si>
    <t>Student</t>
  </si>
  <si>
    <t>Average Score</t>
  </si>
  <si>
    <t>Standard dev.</t>
  </si>
  <si>
    <t>Rubric Item (PI)</t>
  </si>
  <si>
    <t>RATINGS</t>
  </si>
  <si>
    <t>Prepared by A.D. Zdunek</t>
  </si>
  <si>
    <t>1,3,6</t>
  </si>
  <si>
    <t>Mapped SLO</t>
  </si>
  <si>
    <t>Chemical Engineering Laboratory I</t>
  </si>
  <si>
    <t>Assessment of student learning outcomes (SLO)</t>
  </si>
  <si>
    <t>3,6</t>
  </si>
  <si>
    <t>1,3</t>
  </si>
  <si>
    <t>3,7</t>
  </si>
  <si>
    <t>Oral Presentation</t>
  </si>
  <si>
    <t>Prelab reports and Final Lab reports: Lab 6</t>
  </si>
  <si>
    <t>Safety</t>
  </si>
  <si>
    <t>Assessment rubric for pre-lab/final lab report, oral presentation, team skills, safety</t>
  </si>
  <si>
    <t>SACHE</t>
  </si>
  <si>
    <t>Quiz</t>
  </si>
  <si>
    <t>Tutorial</t>
  </si>
  <si>
    <t>CHP</t>
  </si>
  <si>
    <t>Organization</t>
  </si>
  <si>
    <t>Delivery</t>
  </si>
  <si>
    <t>Visual Aids</t>
  </si>
  <si>
    <t>Content</t>
  </si>
  <si>
    <t>RESULTS BY STUDENT OUTCOME ALL ASSESSMENTS</t>
  </si>
  <si>
    <t>Written</t>
  </si>
  <si>
    <t>Oral</t>
  </si>
  <si>
    <t>Rubric item (PI)</t>
  </si>
  <si>
    <t>RESULTS BY PERFORMANCE INDICATOR: Prelab, Final Lab Reports</t>
  </si>
  <si>
    <t>RESULTS BY PERFORMANCE INDICATOR: Oral Presentation</t>
  </si>
  <si>
    <t>RESULTS BY PERFORMANCE INDICATOR: Safety</t>
  </si>
  <si>
    <t>ChE 381 Fall 2018</t>
  </si>
  <si>
    <t>3,4,7</t>
  </si>
  <si>
    <t>1,7</t>
  </si>
  <si>
    <t>Not</t>
  </si>
  <si>
    <t>assessed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</si>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</sst>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63377788628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on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4" borderId="0" xfId="0" applyFont="1" applyFill="1"/>
    <xf numFmtId="0" fontId="0" fillId="0" borderId="0" xfId="0" applyFill="1" applyAlignment="1">
      <alignment horizontal="right"/>
    </xf>
    <xf numFmtId="0" fontId="2" fillId="0" borderId="0" xfId="0" applyFont="1" applyFill="1"/>
    <xf numFmtId="0" fontId="1" fillId="0" borderId="0" xfId="0" applyFont="1" applyFill="1"/>
    <xf numFmtId="0" fontId="0" fillId="2" borderId="0" xfId="0" applyFont="1" applyFill="1"/>
    <xf numFmtId="0" fontId="0" fillId="6" borderId="0" xfId="0" applyFill="1"/>
    <xf numFmtId="2" fontId="0" fillId="6" borderId="0" xfId="0" applyNumberFormat="1" applyFill="1"/>
    <xf numFmtId="0" fontId="0" fillId="3" borderId="1" xfId="0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3" fillId="0" borderId="0" xfId="0" applyFont="1" applyFill="1" applyBorder="1" applyAlignment="1">
      <alignment vertical="center" wrapText="1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2" fontId="0" fillId="0" borderId="0" xfId="0" applyNumberFormat="1"/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3" borderId="0" xfId="0" applyFill="1" applyBorder="1"/>
    <xf numFmtId="0" fontId="1" fillId="3" borderId="0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right"/>
    </xf>
    <xf numFmtId="2" fontId="0" fillId="3" borderId="4" xfId="0" applyNumberFormat="1" applyFill="1" applyBorder="1"/>
    <xf numFmtId="1" fontId="0" fillId="0" borderId="0" xfId="0" applyNumberFormat="1" applyBorder="1" applyAlignment="1">
      <alignment horizontal="center"/>
    </xf>
    <xf numFmtId="0" fontId="0" fillId="0" borderId="0" xfId="0" applyBorder="1"/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3"/>
  <sheetViews>
    <sheetView tabSelected="1" topLeftCell="A61" zoomScale="90" zoomScaleNormal="90" workbookViewId="0">
      <selection activeCell="S91" sqref="S91"/>
    </sheetView>
  </sheetViews>
  <sheetFormatPr defaultRowHeight="15" x14ac:dyDescent="0.25"/>
  <cols>
    <col min="1" max="1" width="20.140625" customWidth="1"/>
    <col min="2" max="2" width="11.5703125" customWidth="1"/>
    <col min="7" max="7" width="9.5703125" bestFit="1" customWidth="1"/>
    <col min="15" max="15" width="17.85546875" customWidth="1"/>
    <col min="16" max="16" width="13.140625" customWidth="1"/>
    <col min="18" max="18" width="11.28515625" customWidth="1"/>
    <col min="22" max="22" width="15.140625" customWidth="1"/>
    <col min="23" max="23" width="25.85546875" customWidth="1"/>
  </cols>
  <sheetData>
    <row r="1" spans="1:24" x14ac:dyDescent="0.25">
      <c r="A1" s="1" t="s">
        <v>38</v>
      </c>
    </row>
    <row r="2" spans="1:24" x14ac:dyDescent="0.25">
      <c r="A2" s="1" t="s">
        <v>14</v>
      </c>
    </row>
    <row r="3" spans="1:24" x14ac:dyDescent="0.25">
      <c r="A3" s="1" t="s">
        <v>15</v>
      </c>
    </row>
    <row r="4" spans="1:24" x14ac:dyDescent="0.25">
      <c r="A4" s="3" t="s">
        <v>22</v>
      </c>
      <c r="B4" s="3"/>
      <c r="C4" s="3"/>
      <c r="D4" s="3"/>
    </row>
    <row r="5" spans="1:24" x14ac:dyDescent="0.25">
      <c r="A5" s="3" t="s">
        <v>11</v>
      </c>
      <c r="B5" s="3"/>
      <c r="C5" s="3"/>
      <c r="D5" s="3"/>
      <c r="E5" s="3"/>
      <c r="F5" s="3"/>
      <c r="G5" s="3"/>
    </row>
    <row r="6" spans="1:24" x14ac:dyDescent="0.25">
      <c r="A6" s="3"/>
      <c r="B6" s="3"/>
      <c r="C6" s="3"/>
      <c r="D6" s="3"/>
      <c r="E6" s="3"/>
      <c r="F6" s="3"/>
      <c r="G6" s="3"/>
    </row>
    <row r="7" spans="1:24" x14ac:dyDescent="0.25">
      <c r="A7" s="3"/>
    </row>
    <row r="9" spans="1:24" x14ac:dyDescent="0.25">
      <c r="A9" s="14" t="s">
        <v>10</v>
      </c>
      <c r="B9" s="5"/>
      <c r="C9" s="5"/>
    </row>
    <row r="10" spans="1:24" x14ac:dyDescent="0.25">
      <c r="A10" s="5">
        <v>1</v>
      </c>
      <c r="B10" s="5" t="s">
        <v>1</v>
      </c>
      <c r="C10" s="5"/>
    </row>
    <row r="11" spans="1:24" x14ac:dyDescent="0.25">
      <c r="A11" s="5">
        <v>2</v>
      </c>
      <c r="B11" s="5" t="s">
        <v>2</v>
      </c>
      <c r="C11" s="5"/>
    </row>
    <row r="12" spans="1:24" x14ac:dyDescent="0.25">
      <c r="A12" s="5">
        <v>3</v>
      </c>
      <c r="B12" s="5" t="s">
        <v>3</v>
      </c>
      <c r="C12" s="5"/>
    </row>
    <row r="13" spans="1:24" x14ac:dyDescent="0.25">
      <c r="A13" s="5"/>
      <c r="B13" s="5"/>
      <c r="C13" s="5"/>
      <c r="W13" t="s">
        <v>23</v>
      </c>
      <c r="X13" t="s">
        <v>26</v>
      </c>
    </row>
    <row r="14" spans="1:24" x14ac:dyDescent="0.25">
      <c r="A14" t="s">
        <v>20</v>
      </c>
      <c r="O14" t="s">
        <v>19</v>
      </c>
      <c r="P14" t="s">
        <v>27</v>
      </c>
      <c r="Q14" t="s">
        <v>28</v>
      </c>
      <c r="R14" t="s">
        <v>29</v>
      </c>
      <c r="S14" t="s">
        <v>30</v>
      </c>
      <c r="V14" t="s">
        <v>21</v>
      </c>
      <c r="W14" t="s">
        <v>25</v>
      </c>
      <c r="X14" t="s">
        <v>24</v>
      </c>
    </row>
    <row r="15" spans="1:24" x14ac:dyDescent="0.25">
      <c r="A15" s="22" t="s">
        <v>9</v>
      </c>
      <c r="B15" s="22">
        <v>1</v>
      </c>
      <c r="C15" s="22">
        <v>2</v>
      </c>
      <c r="D15" s="22">
        <v>3</v>
      </c>
      <c r="E15" s="22">
        <v>4</v>
      </c>
      <c r="F15" s="22">
        <v>5</v>
      </c>
      <c r="G15" s="22">
        <v>6</v>
      </c>
      <c r="H15" s="22">
        <v>7</v>
      </c>
      <c r="I15" s="22">
        <v>8</v>
      </c>
      <c r="J15" s="22">
        <v>9</v>
      </c>
      <c r="K15" s="22">
        <v>10</v>
      </c>
      <c r="L15" s="22">
        <v>11</v>
      </c>
      <c r="M15" s="22">
        <v>12</v>
      </c>
      <c r="O15" s="24" t="s">
        <v>9</v>
      </c>
      <c r="P15" s="22">
        <v>13</v>
      </c>
      <c r="Q15" s="22">
        <v>14</v>
      </c>
      <c r="R15" s="22">
        <v>15</v>
      </c>
      <c r="S15" s="22">
        <v>16</v>
      </c>
      <c r="T15" s="22"/>
      <c r="V15" s="24" t="s">
        <v>9</v>
      </c>
      <c r="W15" s="22">
        <v>17</v>
      </c>
      <c r="X15" s="22">
        <v>18</v>
      </c>
    </row>
    <row r="16" spans="1:24" x14ac:dyDescent="0.25">
      <c r="A16" s="22" t="s">
        <v>13</v>
      </c>
      <c r="B16" s="22" t="s">
        <v>17</v>
      </c>
      <c r="C16" s="22" t="s">
        <v>16</v>
      </c>
      <c r="D16" s="22" t="s">
        <v>39</v>
      </c>
      <c r="E16" s="22">
        <v>3</v>
      </c>
      <c r="F16" s="23" t="s">
        <v>17</v>
      </c>
      <c r="G16" s="23" t="s">
        <v>40</v>
      </c>
      <c r="H16" s="23" t="s">
        <v>12</v>
      </c>
      <c r="I16" s="23" t="s">
        <v>12</v>
      </c>
      <c r="J16" s="23" t="s">
        <v>18</v>
      </c>
      <c r="K16" s="23" t="s">
        <v>12</v>
      </c>
      <c r="L16" s="23" t="s">
        <v>12</v>
      </c>
      <c r="M16" s="23" t="s">
        <v>12</v>
      </c>
      <c r="O16" s="24" t="s">
        <v>13</v>
      </c>
      <c r="P16" s="22">
        <v>3</v>
      </c>
      <c r="Q16" s="22">
        <v>3</v>
      </c>
      <c r="R16" s="22">
        <v>3</v>
      </c>
      <c r="S16" s="22">
        <v>3</v>
      </c>
      <c r="T16" s="22"/>
      <c r="V16" s="24" t="s">
        <v>13</v>
      </c>
      <c r="W16" s="22">
        <v>4</v>
      </c>
      <c r="X16" s="22">
        <v>4</v>
      </c>
    </row>
    <row r="17" spans="1:24" x14ac:dyDescent="0.25">
      <c r="B17" s="2"/>
    </row>
    <row r="18" spans="1:24" x14ac:dyDescent="0.25">
      <c r="A18" t="s">
        <v>6</v>
      </c>
      <c r="B18" s="2"/>
      <c r="O18" t="s">
        <v>6</v>
      </c>
      <c r="V18" t="s">
        <v>6</v>
      </c>
    </row>
    <row r="19" spans="1:24" x14ac:dyDescent="0.25">
      <c r="A19" s="25">
        <v>1</v>
      </c>
      <c r="B19" s="26">
        <v>3</v>
      </c>
      <c r="C19" s="26">
        <v>3</v>
      </c>
      <c r="D19" s="26">
        <v>3</v>
      </c>
      <c r="E19" s="26">
        <v>3</v>
      </c>
      <c r="F19" s="26">
        <v>3</v>
      </c>
      <c r="G19" s="26">
        <v>3</v>
      </c>
      <c r="H19" s="26">
        <v>3</v>
      </c>
      <c r="I19" s="26">
        <v>2</v>
      </c>
      <c r="J19" s="26">
        <v>1</v>
      </c>
      <c r="K19" s="26">
        <v>3</v>
      </c>
      <c r="L19" s="26">
        <v>1</v>
      </c>
      <c r="M19" s="26">
        <v>3</v>
      </c>
      <c r="O19" s="25">
        <v>1</v>
      </c>
      <c r="P19" s="27">
        <v>2</v>
      </c>
      <c r="Q19" s="27">
        <v>2.2000000000000002</v>
      </c>
      <c r="R19" s="27">
        <v>3</v>
      </c>
      <c r="S19" s="27">
        <v>2</v>
      </c>
      <c r="T19" s="41"/>
      <c r="V19" s="25">
        <v>1</v>
      </c>
      <c r="W19" s="26">
        <v>3</v>
      </c>
      <c r="X19" s="26">
        <v>3</v>
      </c>
    </row>
    <row r="20" spans="1:24" x14ac:dyDescent="0.25">
      <c r="A20" s="25">
        <f>A19+1</f>
        <v>2</v>
      </c>
      <c r="B20" s="27">
        <v>3</v>
      </c>
      <c r="C20" s="27">
        <v>3</v>
      </c>
      <c r="D20" s="27">
        <v>3</v>
      </c>
      <c r="E20" s="27">
        <v>3</v>
      </c>
      <c r="F20" s="27">
        <v>3</v>
      </c>
      <c r="G20" s="27">
        <v>3</v>
      </c>
      <c r="H20" s="27">
        <v>3</v>
      </c>
      <c r="I20" s="27">
        <v>2</v>
      </c>
      <c r="J20" s="27">
        <v>1</v>
      </c>
      <c r="K20" s="27">
        <v>3</v>
      </c>
      <c r="L20" s="27">
        <v>1</v>
      </c>
      <c r="M20" s="26">
        <v>3</v>
      </c>
      <c r="O20" s="25">
        <f>O19+1</f>
        <v>2</v>
      </c>
      <c r="P20" s="27">
        <v>2</v>
      </c>
      <c r="Q20" s="27">
        <v>2.2000000000000002</v>
      </c>
      <c r="R20" s="27">
        <v>3</v>
      </c>
      <c r="S20" s="27">
        <v>2</v>
      </c>
      <c r="T20" s="41"/>
      <c r="V20" s="25">
        <f>V19+1</f>
        <v>2</v>
      </c>
      <c r="W20" s="26">
        <v>3</v>
      </c>
      <c r="X20" s="26">
        <v>3</v>
      </c>
    </row>
    <row r="21" spans="1:24" x14ac:dyDescent="0.25">
      <c r="A21" s="25">
        <f t="shared" ref="A21:A78" si="0">A20+1</f>
        <v>3</v>
      </c>
      <c r="B21" s="27">
        <v>3</v>
      </c>
      <c r="C21" s="27">
        <v>3</v>
      </c>
      <c r="D21" s="27">
        <v>3</v>
      </c>
      <c r="E21" s="27">
        <v>3</v>
      </c>
      <c r="F21" s="27">
        <v>3</v>
      </c>
      <c r="G21" s="27">
        <v>3</v>
      </c>
      <c r="H21" s="27">
        <v>3</v>
      </c>
      <c r="I21" s="27">
        <v>2</v>
      </c>
      <c r="J21" s="27">
        <v>1</v>
      </c>
      <c r="K21" s="27">
        <v>3</v>
      </c>
      <c r="L21" s="27">
        <v>1</v>
      </c>
      <c r="M21" s="26">
        <v>3</v>
      </c>
      <c r="O21" s="25">
        <f t="shared" ref="O21:O78" si="1">O20+1</f>
        <v>3</v>
      </c>
      <c r="P21" s="27">
        <v>2</v>
      </c>
      <c r="Q21" s="27">
        <v>2.2000000000000002</v>
      </c>
      <c r="R21" s="27">
        <v>3</v>
      </c>
      <c r="S21" s="27">
        <v>2</v>
      </c>
      <c r="T21" s="41"/>
      <c r="V21" s="25">
        <f t="shared" ref="V21:V78" si="2">V20+1</f>
        <v>3</v>
      </c>
      <c r="W21" s="26">
        <v>3</v>
      </c>
      <c r="X21" s="26">
        <v>3</v>
      </c>
    </row>
    <row r="22" spans="1:24" x14ac:dyDescent="0.25">
      <c r="A22" s="42">
        <f t="shared" si="0"/>
        <v>4</v>
      </c>
      <c r="B22" s="43">
        <v>3</v>
      </c>
      <c r="C22" s="43">
        <v>3</v>
      </c>
      <c r="D22" s="43">
        <v>3</v>
      </c>
      <c r="E22" s="43">
        <v>3</v>
      </c>
      <c r="F22" s="43">
        <v>3</v>
      </c>
      <c r="G22" s="43">
        <v>3</v>
      </c>
      <c r="H22" s="43">
        <v>3</v>
      </c>
      <c r="I22" s="43">
        <v>2</v>
      </c>
      <c r="J22" s="43">
        <v>1</v>
      </c>
      <c r="K22" s="43">
        <v>3</v>
      </c>
      <c r="L22" s="43">
        <v>1</v>
      </c>
      <c r="M22" s="43">
        <v>3</v>
      </c>
      <c r="O22" s="42">
        <f t="shared" si="1"/>
        <v>4</v>
      </c>
      <c r="P22" s="43">
        <v>2</v>
      </c>
      <c r="Q22" s="43">
        <v>2.2000000000000002</v>
      </c>
      <c r="R22" s="43">
        <v>3</v>
      </c>
      <c r="S22" s="43">
        <v>2</v>
      </c>
      <c r="T22" s="45"/>
      <c r="V22" s="25">
        <f t="shared" si="2"/>
        <v>4</v>
      </c>
      <c r="W22" s="26">
        <v>3</v>
      </c>
      <c r="X22" s="26">
        <v>3</v>
      </c>
    </row>
    <row r="23" spans="1:24" x14ac:dyDescent="0.25">
      <c r="A23" s="25">
        <f t="shared" si="0"/>
        <v>5</v>
      </c>
      <c r="B23" s="27">
        <v>3</v>
      </c>
      <c r="C23" s="27">
        <v>2</v>
      </c>
      <c r="D23" s="27">
        <v>2</v>
      </c>
      <c r="E23" s="27">
        <v>2</v>
      </c>
      <c r="F23" s="27">
        <v>3</v>
      </c>
      <c r="G23" s="27">
        <v>2</v>
      </c>
      <c r="H23" s="27">
        <v>2</v>
      </c>
      <c r="I23" s="27">
        <v>2</v>
      </c>
      <c r="J23" s="27">
        <v>1</v>
      </c>
      <c r="K23" s="27">
        <v>3</v>
      </c>
      <c r="L23" s="27">
        <v>2</v>
      </c>
      <c r="M23" s="27">
        <v>3</v>
      </c>
      <c r="O23" s="25">
        <f t="shared" si="1"/>
        <v>5</v>
      </c>
      <c r="P23" s="27">
        <v>3</v>
      </c>
      <c r="Q23" s="27">
        <v>2.5</v>
      </c>
      <c r="R23" s="27">
        <v>2</v>
      </c>
      <c r="S23" s="27">
        <v>2</v>
      </c>
      <c r="T23" s="41"/>
      <c r="V23" s="25">
        <f t="shared" si="2"/>
        <v>5</v>
      </c>
      <c r="W23" s="26">
        <v>3</v>
      </c>
      <c r="X23" s="26">
        <v>3</v>
      </c>
    </row>
    <row r="24" spans="1:24" x14ac:dyDescent="0.25">
      <c r="A24" s="25">
        <f t="shared" si="0"/>
        <v>6</v>
      </c>
      <c r="B24" s="27">
        <v>3</v>
      </c>
      <c r="C24" s="27">
        <v>2</v>
      </c>
      <c r="D24" s="27">
        <v>2</v>
      </c>
      <c r="E24" s="27">
        <v>2</v>
      </c>
      <c r="F24" s="27">
        <v>3</v>
      </c>
      <c r="G24" s="27">
        <v>2</v>
      </c>
      <c r="H24" s="27">
        <v>2</v>
      </c>
      <c r="I24" s="27">
        <v>2</v>
      </c>
      <c r="J24" s="27">
        <v>1</v>
      </c>
      <c r="K24" s="27">
        <v>3</v>
      </c>
      <c r="L24" s="27">
        <v>2</v>
      </c>
      <c r="M24" s="26">
        <v>3</v>
      </c>
      <c r="O24" s="25">
        <f t="shared" si="1"/>
        <v>6</v>
      </c>
      <c r="P24" s="27">
        <v>3</v>
      </c>
      <c r="Q24" s="27">
        <v>2.5</v>
      </c>
      <c r="R24" s="27">
        <v>2</v>
      </c>
      <c r="S24" s="27">
        <v>2</v>
      </c>
      <c r="T24" s="41"/>
      <c r="V24" s="25">
        <f t="shared" si="2"/>
        <v>6</v>
      </c>
      <c r="W24" s="26">
        <v>3</v>
      </c>
      <c r="X24" s="26">
        <v>3</v>
      </c>
    </row>
    <row r="25" spans="1:24" x14ac:dyDescent="0.25">
      <c r="A25" s="42">
        <f t="shared" si="0"/>
        <v>7</v>
      </c>
      <c r="B25" s="43">
        <v>3</v>
      </c>
      <c r="C25" s="43">
        <v>2</v>
      </c>
      <c r="D25" s="43">
        <v>2</v>
      </c>
      <c r="E25" s="44">
        <v>2</v>
      </c>
      <c r="F25" s="44">
        <v>3</v>
      </c>
      <c r="G25" s="44">
        <v>2</v>
      </c>
      <c r="H25" s="44">
        <v>2</v>
      </c>
      <c r="I25" s="44">
        <v>2</v>
      </c>
      <c r="J25" s="44">
        <v>1</v>
      </c>
      <c r="K25" s="44">
        <v>3</v>
      </c>
      <c r="L25" s="44">
        <v>2</v>
      </c>
      <c r="M25" s="44">
        <v>3</v>
      </c>
      <c r="O25" s="42">
        <f t="shared" si="1"/>
        <v>7</v>
      </c>
      <c r="P25" s="43">
        <v>3</v>
      </c>
      <c r="Q25" s="43">
        <v>2.5</v>
      </c>
      <c r="R25" s="43">
        <v>2</v>
      </c>
      <c r="S25" s="43">
        <v>2</v>
      </c>
      <c r="T25" s="45"/>
      <c r="V25" s="25">
        <f t="shared" si="2"/>
        <v>7</v>
      </c>
      <c r="W25" s="26">
        <v>3</v>
      </c>
      <c r="X25" s="26">
        <v>3</v>
      </c>
    </row>
    <row r="26" spans="1:24" x14ac:dyDescent="0.25">
      <c r="A26" s="25">
        <f t="shared" si="0"/>
        <v>8</v>
      </c>
      <c r="B26" s="27">
        <v>3</v>
      </c>
      <c r="C26" s="27">
        <v>3</v>
      </c>
      <c r="D26" s="27">
        <v>3</v>
      </c>
      <c r="E26" s="27">
        <v>3</v>
      </c>
      <c r="F26" s="27">
        <v>3</v>
      </c>
      <c r="G26" s="27">
        <v>3</v>
      </c>
      <c r="H26" s="27">
        <v>3</v>
      </c>
      <c r="I26" s="27">
        <v>3</v>
      </c>
      <c r="J26" s="27">
        <v>3</v>
      </c>
      <c r="K26" s="27">
        <v>3</v>
      </c>
      <c r="L26" s="27">
        <v>3</v>
      </c>
      <c r="M26" s="26">
        <v>3</v>
      </c>
      <c r="O26" s="25">
        <f t="shared" si="1"/>
        <v>8</v>
      </c>
      <c r="P26" s="27">
        <v>3</v>
      </c>
      <c r="Q26" s="27">
        <v>3</v>
      </c>
      <c r="R26" s="27">
        <v>3</v>
      </c>
      <c r="S26" s="27">
        <v>2</v>
      </c>
      <c r="T26" s="41"/>
      <c r="V26" s="25">
        <f t="shared" si="2"/>
        <v>8</v>
      </c>
      <c r="W26" s="26">
        <v>3</v>
      </c>
      <c r="X26" s="26">
        <v>3</v>
      </c>
    </row>
    <row r="27" spans="1:24" x14ac:dyDescent="0.25">
      <c r="A27" s="25">
        <f t="shared" si="0"/>
        <v>9</v>
      </c>
      <c r="B27" s="27">
        <v>3</v>
      </c>
      <c r="C27" s="27">
        <v>3</v>
      </c>
      <c r="D27" s="27">
        <v>3</v>
      </c>
      <c r="E27" s="27">
        <v>3</v>
      </c>
      <c r="F27" s="27">
        <v>3</v>
      </c>
      <c r="G27" s="27">
        <v>3</v>
      </c>
      <c r="H27" s="27">
        <v>3</v>
      </c>
      <c r="I27" s="27">
        <v>3</v>
      </c>
      <c r="J27" s="27">
        <v>3</v>
      </c>
      <c r="K27" s="27">
        <v>3</v>
      </c>
      <c r="L27" s="27">
        <v>3</v>
      </c>
      <c r="M27" s="26">
        <v>3</v>
      </c>
      <c r="O27" s="25">
        <f t="shared" si="1"/>
        <v>9</v>
      </c>
      <c r="P27" s="27">
        <v>3</v>
      </c>
      <c r="Q27" s="27">
        <v>3</v>
      </c>
      <c r="R27" s="27">
        <v>3</v>
      </c>
      <c r="S27" s="27">
        <v>2</v>
      </c>
      <c r="T27" s="41"/>
      <c r="V27" s="25">
        <f t="shared" si="2"/>
        <v>9</v>
      </c>
      <c r="W27" s="26">
        <v>3</v>
      </c>
      <c r="X27" s="26">
        <v>3</v>
      </c>
    </row>
    <row r="28" spans="1:24" x14ac:dyDescent="0.25">
      <c r="A28" s="25">
        <f t="shared" si="0"/>
        <v>10</v>
      </c>
      <c r="B28" s="27">
        <v>3</v>
      </c>
      <c r="C28" s="27">
        <v>3</v>
      </c>
      <c r="D28" s="27">
        <v>3</v>
      </c>
      <c r="E28" s="27">
        <v>3</v>
      </c>
      <c r="F28" s="27">
        <v>3</v>
      </c>
      <c r="G28" s="27">
        <v>3</v>
      </c>
      <c r="H28" s="27">
        <v>3</v>
      </c>
      <c r="I28" s="27">
        <v>3</v>
      </c>
      <c r="J28" s="27">
        <v>3</v>
      </c>
      <c r="K28" s="27">
        <v>3</v>
      </c>
      <c r="L28" s="27">
        <v>3</v>
      </c>
      <c r="M28" s="26">
        <v>3</v>
      </c>
      <c r="O28" s="25">
        <f t="shared" si="1"/>
        <v>10</v>
      </c>
      <c r="P28" s="27">
        <v>3</v>
      </c>
      <c r="Q28" s="27">
        <v>3</v>
      </c>
      <c r="R28" s="27">
        <v>3</v>
      </c>
      <c r="S28" s="27">
        <v>2</v>
      </c>
      <c r="T28" s="41"/>
      <c r="V28" s="25">
        <f t="shared" si="2"/>
        <v>10</v>
      </c>
      <c r="W28" s="26">
        <v>3</v>
      </c>
      <c r="X28" s="26">
        <v>3</v>
      </c>
    </row>
    <row r="29" spans="1:24" x14ac:dyDescent="0.25">
      <c r="A29" s="42">
        <f t="shared" si="0"/>
        <v>11</v>
      </c>
      <c r="B29" s="43">
        <v>3</v>
      </c>
      <c r="C29" s="43">
        <v>3</v>
      </c>
      <c r="D29" s="43">
        <v>3</v>
      </c>
      <c r="E29" s="43">
        <v>3</v>
      </c>
      <c r="F29" s="43">
        <v>3</v>
      </c>
      <c r="G29" s="43">
        <v>3</v>
      </c>
      <c r="H29" s="43">
        <v>3</v>
      </c>
      <c r="I29" s="43">
        <v>3</v>
      </c>
      <c r="J29" s="43">
        <v>3</v>
      </c>
      <c r="K29" s="43">
        <v>3</v>
      </c>
      <c r="L29" s="43">
        <v>3</v>
      </c>
      <c r="M29" s="43">
        <v>3</v>
      </c>
      <c r="O29" s="42">
        <f t="shared" si="1"/>
        <v>11</v>
      </c>
      <c r="P29" s="43">
        <v>3</v>
      </c>
      <c r="Q29" s="43">
        <v>3</v>
      </c>
      <c r="R29" s="43">
        <v>3</v>
      </c>
      <c r="S29" s="43">
        <v>2</v>
      </c>
      <c r="T29" s="45"/>
      <c r="V29" s="25">
        <f t="shared" si="2"/>
        <v>11</v>
      </c>
      <c r="W29" s="26">
        <v>3</v>
      </c>
      <c r="X29" s="26">
        <v>3</v>
      </c>
    </row>
    <row r="30" spans="1:24" x14ac:dyDescent="0.25">
      <c r="A30" s="25">
        <f t="shared" si="0"/>
        <v>12</v>
      </c>
      <c r="B30" s="27">
        <v>3</v>
      </c>
      <c r="C30" s="27">
        <v>3</v>
      </c>
      <c r="D30" s="27">
        <v>3</v>
      </c>
      <c r="E30" s="27">
        <v>3</v>
      </c>
      <c r="F30" s="27">
        <v>3</v>
      </c>
      <c r="G30" s="27">
        <v>3</v>
      </c>
      <c r="H30" s="27">
        <v>3</v>
      </c>
      <c r="I30" s="27">
        <v>3</v>
      </c>
      <c r="J30" s="27">
        <v>3</v>
      </c>
      <c r="K30" s="27">
        <v>3</v>
      </c>
      <c r="L30" s="28">
        <v>3</v>
      </c>
      <c r="M30" s="28">
        <v>3</v>
      </c>
      <c r="O30" s="25">
        <f t="shared" si="1"/>
        <v>12</v>
      </c>
      <c r="P30" s="28">
        <v>3</v>
      </c>
      <c r="Q30" s="28">
        <v>3</v>
      </c>
      <c r="R30" s="28">
        <v>3</v>
      </c>
      <c r="S30" s="28">
        <v>3</v>
      </c>
      <c r="T30" s="41"/>
      <c r="V30" s="25">
        <f t="shared" si="2"/>
        <v>12</v>
      </c>
      <c r="W30" s="26">
        <v>3</v>
      </c>
      <c r="X30" s="26">
        <v>3</v>
      </c>
    </row>
    <row r="31" spans="1:24" x14ac:dyDescent="0.25">
      <c r="A31" s="25">
        <f t="shared" si="0"/>
        <v>13</v>
      </c>
      <c r="B31" s="27">
        <v>3</v>
      </c>
      <c r="C31" s="27">
        <v>3</v>
      </c>
      <c r="D31" s="27">
        <v>3</v>
      </c>
      <c r="E31" s="28">
        <v>3</v>
      </c>
      <c r="F31" s="28">
        <v>3</v>
      </c>
      <c r="G31" s="28">
        <v>3</v>
      </c>
      <c r="H31" s="28">
        <v>3</v>
      </c>
      <c r="I31" s="28">
        <v>3</v>
      </c>
      <c r="J31" s="28">
        <v>3</v>
      </c>
      <c r="K31" s="28">
        <v>3</v>
      </c>
      <c r="L31" s="28">
        <v>3</v>
      </c>
      <c r="M31" s="28">
        <v>3</v>
      </c>
      <c r="O31" s="25">
        <f t="shared" si="1"/>
        <v>13</v>
      </c>
      <c r="P31" s="27">
        <v>3</v>
      </c>
      <c r="Q31" s="27">
        <v>3</v>
      </c>
      <c r="R31" s="27">
        <v>3</v>
      </c>
      <c r="S31" s="27">
        <v>3</v>
      </c>
      <c r="T31" s="41"/>
      <c r="V31" s="25">
        <f t="shared" si="2"/>
        <v>13</v>
      </c>
      <c r="W31" s="26">
        <v>3</v>
      </c>
      <c r="X31" s="26">
        <v>3</v>
      </c>
    </row>
    <row r="32" spans="1:24" x14ac:dyDescent="0.25">
      <c r="A32" s="42">
        <f t="shared" si="0"/>
        <v>14</v>
      </c>
      <c r="B32" s="43">
        <v>3</v>
      </c>
      <c r="C32" s="43">
        <v>3</v>
      </c>
      <c r="D32" s="43">
        <v>3</v>
      </c>
      <c r="E32" s="43">
        <v>3</v>
      </c>
      <c r="F32" s="43">
        <v>3</v>
      </c>
      <c r="G32" s="43">
        <v>3</v>
      </c>
      <c r="H32" s="43">
        <v>3</v>
      </c>
      <c r="I32" s="43">
        <v>3</v>
      </c>
      <c r="J32" s="43">
        <v>3</v>
      </c>
      <c r="K32" s="43">
        <v>3</v>
      </c>
      <c r="L32" s="43">
        <v>3</v>
      </c>
      <c r="M32" s="43">
        <v>3</v>
      </c>
      <c r="O32" s="42">
        <f t="shared" si="1"/>
        <v>14</v>
      </c>
      <c r="P32" s="43">
        <v>3</v>
      </c>
      <c r="Q32" s="43">
        <v>3</v>
      </c>
      <c r="R32" s="43">
        <v>3</v>
      </c>
      <c r="S32" s="43">
        <v>3</v>
      </c>
      <c r="T32" s="45"/>
      <c r="V32" s="25">
        <f t="shared" si="2"/>
        <v>14</v>
      </c>
      <c r="W32" s="26">
        <v>3</v>
      </c>
      <c r="X32" s="26">
        <v>3</v>
      </c>
    </row>
    <row r="33" spans="1:24" x14ac:dyDescent="0.25">
      <c r="A33" s="25">
        <f t="shared" si="0"/>
        <v>15</v>
      </c>
      <c r="B33" s="27">
        <v>3</v>
      </c>
      <c r="C33" s="27">
        <v>3</v>
      </c>
      <c r="D33" s="27">
        <v>2</v>
      </c>
      <c r="E33" s="27">
        <v>3</v>
      </c>
      <c r="F33" s="27">
        <v>3</v>
      </c>
      <c r="G33" s="27">
        <v>3</v>
      </c>
      <c r="H33" s="27">
        <v>3</v>
      </c>
      <c r="I33" s="27">
        <v>3</v>
      </c>
      <c r="J33" s="27">
        <v>3</v>
      </c>
      <c r="K33" s="27">
        <v>3</v>
      </c>
      <c r="L33" s="27">
        <v>3</v>
      </c>
      <c r="M33" s="26">
        <v>3</v>
      </c>
      <c r="O33" s="25">
        <f t="shared" si="1"/>
        <v>15</v>
      </c>
      <c r="P33" s="27">
        <v>3</v>
      </c>
      <c r="Q33" s="27">
        <v>2</v>
      </c>
      <c r="R33" s="27">
        <v>2.5</v>
      </c>
      <c r="S33" s="27">
        <v>2.5</v>
      </c>
      <c r="T33" s="41"/>
      <c r="V33" s="25">
        <f t="shared" si="2"/>
        <v>15</v>
      </c>
      <c r="W33" s="26">
        <v>3</v>
      </c>
      <c r="X33" s="26">
        <v>3</v>
      </c>
    </row>
    <row r="34" spans="1:24" x14ac:dyDescent="0.25">
      <c r="A34" s="25">
        <f t="shared" si="0"/>
        <v>16</v>
      </c>
      <c r="B34" s="27">
        <v>3</v>
      </c>
      <c r="C34" s="27">
        <v>3</v>
      </c>
      <c r="D34" s="27">
        <v>2</v>
      </c>
      <c r="E34" s="27">
        <v>3</v>
      </c>
      <c r="F34" s="27">
        <v>3</v>
      </c>
      <c r="G34" s="27">
        <v>3</v>
      </c>
      <c r="H34" s="27">
        <v>3</v>
      </c>
      <c r="I34" s="27">
        <v>3</v>
      </c>
      <c r="J34" s="27">
        <v>3</v>
      </c>
      <c r="K34" s="27">
        <v>3</v>
      </c>
      <c r="L34" s="27">
        <v>3</v>
      </c>
      <c r="M34" s="26">
        <v>3</v>
      </c>
      <c r="O34" s="25">
        <f t="shared" si="1"/>
        <v>16</v>
      </c>
      <c r="P34" s="27">
        <v>3</v>
      </c>
      <c r="Q34" s="27">
        <v>2</v>
      </c>
      <c r="R34" s="27">
        <v>2.5</v>
      </c>
      <c r="S34" s="27">
        <v>2.5</v>
      </c>
      <c r="T34" s="41" t="s">
        <v>43</v>
      </c>
      <c r="V34" s="25">
        <f t="shared" si="2"/>
        <v>16</v>
      </c>
      <c r="W34" s="26">
        <v>3</v>
      </c>
      <c r="X34" s="26">
        <v>3</v>
      </c>
    </row>
    <row r="35" spans="1:24" x14ac:dyDescent="0.25">
      <c r="A35" s="25">
        <f t="shared" si="0"/>
        <v>17</v>
      </c>
      <c r="B35" s="27">
        <v>3</v>
      </c>
      <c r="C35" s="27">
        <v>3</v>
      </c>
      <c r="D35" s="27">
        <v>2</v>
      </c>
      <c r="E35" s="27">
        <v>3</v>
      </c>
      <c r="F35" s="27">
        <v>3</v>
      </c>
      <c r="G35" s="27">
        <v>3</v>
      </c>
      <c r="H35" s="27">
        <v>3</v>
      </c>
      <c r="I35" s="27">
        <v>3</v>
      </c>
      <c r="J35" s="27">
        <v>3</v>
      </c>
      <c r="K35" s="27">
        <v>3</v>
      </c>
      <c r="L35" s="27">
        <v>3</v>
      </c>
      <c r="M35" s="27">
        <v>3</v>
      </c>
      <c r="O35" s="25">
        <f t="shared" si="1"/>
        <v>17</v>
      </c>
      <c r="P35" s="27">
        <v>3</v>
      </c>
      <c r="Q35" s="27">
        <v>2</v>
      </c>
      <c r="R35" s="27">
        <v>2.5</v>
      </c>
      <c r="S35" s="27">
        <v>2.5</v>
      </c>
      <c r="T35" s="41"/>
      <c r="V35" s="25">
        <f t="shared" si="2"/>
        <v>17</v>
      </c>
      <c r="W35" s="26">
        <v>3</v>
      </c>
      <c r="X35" s="26">
        <v>3</v>
      </c>
    </row>
    <row r="36" spans="1:24" x14ac:dyDescent="0.25">
      <c r="A36" s="42">
        <f t="shared" si="0"/>
        <v>18</v>
      </c>
      <c r="B36" s="43">
        <v>3</v>
      </c>
      <c r="C36" s="43">
        <v>3</v>
      </c>
      <c r="D36" s="43">
        <v>2</v>
      </c>
      <c r="E36" s="43">
        <v>3</v>
      </c>
      <c r="F36" s="43">
        <v>3</v>
      </c>
      <c r="G36" s="43">
        <v>3</v>
      </c>
      <c r="H36" s="43">
        <v>3</v>
      </c>
      <c r="I36" s="43">
        <v>3</v>
      </c>
      <c r="J36" s="43">
        <v>3</v>
      </c>
      <c r="K36" s="43">
        <v>3</v>
      </c>
      <c r="L36" s="44">
        <v>3</v>
      </c>
      <c r="M36" s="44">
        <v>3</v>
      </c>
      <c r="O36" s="42">
        <f t="shared" si="1"/>
        <v>18</v>
      </c>
      <c r="P36" s="44">
        <v>3</v>
      </c>
      <c r="Q36" s="44">
        <v>2</v>
      </c>
      <c r="R36" s="44">
        <v>2.5</v>
      </c>
      <c r="S36" s="44">
        <v>2.5</v>
      </c>
      <c r="T36" s="45"/>
      <c r="V36" s="25">
        <f t="shared" si="2"/>
        <v>18</v>
      </c>
      <c r="W36" s="26">
        <v>3</v>
      </c>
      <c r="X36" s="26">
        <v>3</v>
      </c>
    </row>
    <row r="37" spans="1:24" x14ac:dyDescent="0.25">
      <c r="A37" s="25">
        <f t="shared" si="0"/>
        <v>19</v>
      </c>
      <c r="B37" s="27">
        <v>3</v>
      </c>
      <c r="C37" s="27">
        <v>3</v>
      </c>
      <c r="D37" s="27">
        <v>2</v>
      </c>
      <c r="E37" s="28">
        <v>2</v>
      </c>
      <c r="F37" s="28">
        <v>3</v>
      </c>
      <c r="G37" s="28">
        <v>3</v>
      </c>
      <c r="H37" s="28">
        <v>3</v>
      </c>
      <c r="I37" s="28">
        <v>3</v>
      </c>
      <c r="J37" s="28">
        <v>3</v>
      </c>
      <c r="K37" s="28">
        <v>3</v>
      </c>
      <c r="L37" s="28">
        <v>2</v>
      </c>
      <c r="M37" s="28">
        <v>3</v>
      </c>
      <c r="O37" s="25">
        <f t="shared" si="1"/>
        <v>19</v>
      </c>
      <c r="P37" s="27">
        <v>2.5</v>
      </c>
      <c r="Q37" s="27">
        <v>3</v>
      </c>
      <c r="R37" s="27">
        <v>3</v>
      </c>
      <c r="S37" s="27">
        <v>3</v>
      </c>
      <c r="T37" s="41"/>
      <c r="V37" s="25">
        <f t="shared" si="2"/>
        <v>19</v>
      </c>
      <c r="W37" s="26">
        <v>3</v>
      </c>
      <c r="X37" s="26">
        <v>3</v>
      </c>
    </row>
    <row r="38" spans="1:24" x14ac:dyDescent="0.25">
      <c r="A38" s="25">
        <f t="shared" si="0"/>
        <v>20</v>
      </c>
      <c r="B38" s="27">
        <v>3</v>
      </c>
      <c r="C38" s="27">
        <v>3</v>
      </c>
      <c r="D38" s="27">
        <v>2</v>
      </c>
      <c r="E38" s="27">
        <v>2</v>
      </c>
      <c r="F38" s="27">
        <v>3</v>
      </c>
      <c r="G38" s="27">
        <v>3</v>
      </c>
      <c r="H38" s="27">
        <v>3</v>
      </c>
      <c r="I38" s="27">
        <v>3</v>
      </c>
      <c r="J38" s="27">
        <v>3</v>
      </c>
      <c r="K38" s="27">
        <v>3</v>
      </c>
      <c r="L38" s="27">
        <v>2</v>
      </c>
      <c r="M38" s="26">
        <v>3</v>
      </c>
      <c r="O38" s="25">
        <f t="shared" si="1"/>
        <v>20</v>
      </c>
      <c r="P38" s="27">
        <v>2.5</v>
      </c>
      <c r="Q38" s="27">
        <v>3</v>
      </c>
      <c r="R38" s="27">
        <v>3</v>
      </c>
      <c r="S38" s="27">
        <v>3</v>
      </c>
      <c r="T38" s="41"/>
      <c r="V38" s="25">
        <f t="shared" si="2"/>
        <v>20</v>
      </c>
      <c r="W38" s="26">
        <v>3</v>
      </c>
      <c r="X38" s="26">
        <v>3</v>
      </c>
    </row>
    <row r="39" spans="1:24" x14ac:dyDescent="0.25">
      <c r="A39" s="25">
        <f t="shared" si="0"/>
        <v>21</v>
      </c>
      <c r="B39" s="27">
        <v>3</v>
      </c>
      <c r="C39" s="27">
        <v>3</v>
      </c>
      <c r="D39" s="27">
        <v>2</v>
      </c>
      <c r="E39" s="27">
        <v>2</v>
      </c>
      <c r="F39" s="27">
        <v>3</v>
      </c>
      <c r="G39" s="27">
        <v>3</v>
      </c>
      <c r="H39" s="27">
        <v>3</v>
      </c>
      <c r="I39" s="27">
        <v>3</v>
      </c>
      <c r="J39" s="27">
        <v>3</v>
      </c>
      <c r="K39" s="27">
        <v>3</v>
      </c>
      <c r="L39" s="27">
        <v>2</v>
      </c>
      <c r="M39" s="27">
        <v>3</v>
      </c>
      <c r="O39" s="25">
        <f t="shared" si="1"/>
        <v>21</v>
      </c>
      <c r="P39" s="27">
        <v>2.5</v>
      </c>
      <c r="Q39" s="27">
        <v>3</v>
      </c>
      <c r="R39" s="27">
        <v>3</v>
      </c>
      <c r="S39" s="27">
        <v>3</v>
      </c>
      <c r="T39" s="41"/>
      <c r="V39" s="25">
        <f t="shared" si="2"/>
        <v>21</v>
      </c>
      <c r="W39" s="26">
        <v>3</v>
      </c>
      <c r="X39" s="26">
        <v>3</v>
      </c>
    </row>
    <row r="40" spans="1:24" x14ac:dyDescent="0.25">
      <c r="A40" s="42">
        <f t="shared" si="0"/>
        <v>22</v>
      </c>
      <c r="B40" s="43">
        <v>3</v>
      </c>
      <c r="C40" s="43">
        <v>3</v>
      </c>
      <c r="D40" s="43">
        <v>2</v>
      </c>
      <c r="E40" s="43">
        <v>2</v>
      </c>
      <c r="F40" s="43">
        <v>3</v>
      </c>
      <c r="G40" s="43">
        <v>3</v>
      </c>
      <c r="H40" s="43">
        <v>3</v>
      </c>
      <c r="I40" s="43">
        <v>3</v>
      </c>
      <c r="J40" s="43">
        <v>3</v>
      </c>
      <c r="K40" s="43">
        <v>3</v>
      </c>
      <c r="L40" s="44">
        <v>2</v>
      </c>
      <c r="M40" s="44">
        <v>3</v>
      </c>
      <c r="O40" s="42">
        <f t="shared" si="1"/>
        <v>22</v>
      </c>
      <c r="P40" s="44">
        <v>2.5</v>
      </c>
      <c r="Q40" s="44">
        <v>3</v>
      </c>
      <c r="R40" s="44">
        <v>3</v>
      </c>
      <c r="S40" s="44">
        <v>3</v>
      </c>
      <c r="T40" s="45"/>
      <c r="V40" s="25">
        <f t="shared" si="2"/>
        <v>22</v>
      </c>
      <c r="W40" s="26">
        <v>3</v>
      </c>
      <c r="X40" s="26">
        <v>3</v>
      </c>
    </row>
    <row r="41" spans="1:24" x14ac:dyDescent="0.25">
      <c r="A41" s="25">
        <f t="shared" si="0"/>
        <v>23</v>
      </c>
      <c r="B41" s="27">
        <v>3</v>
      </c>
      <c r="C41" s="27">
        <v>3</v>
      </c>
      <c r="D41" s="27">
        <v>3</v>
      </c>
      <c r="E41" s="27">
        <v>3</v>
      </c>
      <c r="F41" s="28">
        <v>3</v>
      </c>
      <c r="G41" s="28">
        <v>3</v>
      </c>
      <c r="H41" s="28">
        <v>3</v>
      </c>
      <c r="I41" s="28">
        <v>3</v>
      </c>
      <c r="J41" s="28">
        <v>3</v>
      </c>
      <c r="K41" s="28">
        <v>3</v>
      </c>
      <c r="L41" s="28">
        <v>3</v>
      </c>
      <c r="M41" s="28">
        <v>3</v>
      </c>
      <c r="O41" s="25">
        <f t="shared" si="1"/>
        <v>23</v>
      </c>
      <c r="P41" s="27">
        <v>2.5</v>
      </c>
      <c r="Q41" s="27">
        <v>2.5</v>
      </c>
      <c r="R41" s="27">
        <v>3</v>
      </c>
      <c r="S41" s="27">
        <v>3</v>
      </c>
      <c r="T41" s="41"/>
      <c r="V41" s="25">
        <f t="shared" si="2"/>
        <v>23</v>
      </c>
      <c r="W41" s="26">
        <v>3</v>
      </c>
      <c r="X41" s="26">
        <v>3</v>
      </c>
    </row>
    <row r="42" spans="1:24" x14ac:dyDescent="0.25">
      <c r="A42" s="25">
        <f t="shared" si="0"/>
        <v>24</v>
      </c>
      <c r="B42" s="27">
        <v>3</v>
      </c>
      <c r="C42" s="27">
        <v>3</v>
      </c>
      <c r="D42" s="27">
        <v>3</v>
      </c>
      <c r="E42" s="27">
        <v>3</v>
      </c>
      <c r="F42" s="28">
        <v>3</v>
      </c>
      <c r="G42" s="28">
        <v>3</v>
      </c>
      <c r="H42" s="28">
        <v>3</v>
      </c>
      <c r="I42" s="28">
        <v>3</v>
      </c>
      <c r="J42" s="28">
        <v>3</v>
      </c>
      <c r="K42" s="28">
        <v>3</v>
      </c>
      <c r="L42" s="28">
        <v>3</v>
      </c>
      <c r="M42" s="28">
        <v>3</v>
      </c>
      <c r="O42" s="25">
        <f t="shared" si="1"/>
        <v>24</v>
      </c>
      <c r="P42" s="27">
        <v>2.5</v>
      </c>
      <c r="Q42" s="27">
        <v>2.5</v>
      </c>
      <c r="R42" s="27">
        <v>3</v>
      </c>
      <c r="S42" s="27">
        <v>3</v>
      </c>
      <c r="T42" s="41"/>
      <c r="V42" s="25">
        <f t="shared" si="2"/>
        <v>24</v>
      </c>
      <c r="W42" s="26">
        <v>3</v>
      </c>
      <c r="X42" s="26">
        <v>3</v>
      </c>
    </row>
    <row r="43" spans="1:24" x14ac:dyDescent="0.25">
      <c r="A43" s="25">
        <f t="shared" si="0"/>
        <v>25</v>
      </c>
      <c r="B43" s="27">
        <v>3</v>
      </c>
      <c r="C43" s="27">
        <v>3</v>
      </c>
      <c r="D43" s="27">
        <v>3</v>
      </c>
      <c r="E43" s="27">
        <v>3</v>
      </c>
      <c r="F43" s="28">
        <v>3</v>
      </c>
      <c r="G43" s="28">
        <v>3</v>
      </c>
      <c r="H43" s="28">
        <v>3</v>
      </c>
      <c r="I43" s="28">
        <v>3</v>
      </c>
      <c r="J43" s="28">
        <v>3</v>
      </c>
      <c r="K43" s="28">
        <v>3</v>
      </c>
      <c r="L43" s="28">
        <v>3</v>
      </c>
      <c r="M43" s="28">
        <v>3</v>
      </c>
      <c r="O43" s="25">
        <f t="shared" si="1"/>
        <v>25</v>
      </c>
      <c r="P43" s="27">
        <v>2.5</v>
      </c>
      <c r="Q43" s="27">
        <v>2.5</v>
      </c>
      <c r="R43" s="27">
        <v>3</v>
      </c>
      <c r="S43" s="27">
        <v>3</v>
      </c>
      <c r="T43" s="41"/>
      <c r="V43" s="25">
        <f t="shared" si="2"/>
        <v>25</v>
      </c>
      <c r="W43" s="26">
        <v>3</v>
      </c>
      <c r="X43" s="26">
        <v>3</v>
      </c>
    </row>
    <row r="44" spans="1:24" x14ac:dyDescent="0.25">
      <c r="A44" s="42">
        <f t="shared" si="0"/>
        <v>26</v>
      </c>
      <c r="B44" s="43">
        <v>3</v>
      </c>
      <c r="C44" s="44">
        <v>3</v>
      </c>
      <c r="D44" s="44">
        <v>3</v>
      </c>
      <c r="E44" s="44">
        <v>3</v>
      </c>
      <c r="F44" s="44">
        <v>3</v>
      </c>
      <c r="G44" s="44">
        <v>3</v>
      </c>
      <c r="H44" s="44">
        <v>3</v>
      </c>
      <c r="I44" s="44">
        <v>3</v>
      </c>
      <c r="J44" s="44">
        <v>3</v>
      </c>
      <c r="K44" s="44">
        <v>3</v>
      </c>
      <c r="L44" s="44">
        <v>3</v>
      </c>
      <c r="M44" s="44">
        <v>3</v>
      </c>
      <c r="O44" s="42">
        <f t="shared" si="1"/>
        <v>26</v>
      </c>
      <c r="P44" s="43">
        <v>2.5</v>
      </c>
      <c r="Q44" s="43">
        <v>2.5</v>
      </c>
      <c r="R44" s="43">
        <v>3</v>
      </c>
      <c r="S44" s="43">
        <v>3</v>
      </c>
      <c r="T44" s="45"/>
      <c r="V44" s="25">
        <f t="shared" si="2"/>
        <v>26</v>
      </c>
      <c r="W44" s="26">
        <v>3</v>
      </c>
      <c r="X44" s="26">
        <v>3</v>
      </c>
    </row>
    <row r="45" spans="1:24" x14ac:dyDescent="0.25">
      <c r="A45" s="25">
        <f t="shared" si="0"/>
        <v>27</v>
      </c>
      <c r="B45" s="27">
        <v>2</v>
      </c>
      <c r="C45" s="27">
        <v>3</v>
      </c>
      <c r="D45" s="27">
        <v>2</v>
      </c>
      <c r="E45" s="27">
        <v>3</v>
      </c>
      <c r="F45" s="28">
        <v>3</v>
      </c>
      <c r="G45" s="28">
        <v>3</v>
      </c>
      <c r="H45" s="28">
        <v>3</v>
      </c>
      <c r="I45" s="28">
        <v>2</v>
      </c>
      <c r="J45" s="28">
        <v>3</v>
      </c>
      <c r="K45" s="28">
        <v>3</v>
      </c>
      <c r="L45" s="28">
        <v>3</v>
      </c>
      <c r="M45" s="28">
        <v>3</v>
      </c>
      <c r="O45" s="25">
        <f t="shared" si="1"/>
        <v>27</v>
      </c>
      <c r="P45" s="28">
        <v>2.5</v>
      </c>
      <c r="Q45" s="28">
        <v>2.5</v>
      </c>
      <c r="R45" s="28">
        <v>3</v>
      </c>
      <c r="S45" s="28">
        <v>3</v>
      </c>
      <c r="T45" s="41"/>
      <c r="V45" s="25">
        <f t="shared" si="2"/>
        <v>27</v>
      </c>
      <c r="W45" s="26">
        <v>3</v>
      </c>
      <c r="X45" s="26">
        <v>3</v>
      </c>
    </row>
    <row r="46" spans="1:24" x14ac:dyDescent="0.25">
      <c r="A46" s="25">
        <f t="shared" si="0"/>
        <v>28</v>
      </c>
      <c r="B46" s="27">
        <v>2</v>
      </c>
      <c r="C46" s="27">
        <v>3</v>
      </c>
      <c r="D46" s="27">
        <v>2</v>
      </c>
      <c r="E46" s="27">
        <v>3</v>
      </c>
      <c r="F46" s="28">
        <v>3</v>
      </c>
      <c r="G46" s="28">
        <v>3</v>
      </c>
      <c r="H46" s="28">
        <v>3</v>
      </c>
      <c r="I46" s="28">
        <v>2</v>
      </c>
      <c r="J46" s="28">
        <v>3</v>
      </c>
      <c r="K46" s="28">
        <v>3</v>
      </c>
      <c r="L46" s="28">
        <v>3</v>
      </c>
      <c r="M46" s="28">
        <v>3</v>
      </c>
      <c r="O46" s="25">
        <f t="shared" si="1"/>
        <v>28</v>
      </c>
      <c r="P46" s="27">
        <v>2.5</v>
      </c>
      <c r="Q46" s="27">
        <v>2.5</v>
      </c>
      <c r="R46" s="27">
        <v>3</v>
      </c>
      <c r="S46" s="27">
        <v>3</v>
      </c>
      <c r="T46" s="41"/>
      <c r="V46" s="25">
        <f t="shared" si="2"/>
        <v>28</v>
      </c>
      <c r="W46" s="26">
        <v>3</v>
      </c>
      <c r="X46" s="26">
        <v>3</v>
      </c>
    </row>
    <row r="47" spans="1:24" x14ac:dyDescent="0.25">
      <c r="A47" s="25">
        <f t="shared" si="0"/>
        <v>29</v>
      </c>
      <c r="B47" s="27">
        <v>2</v>
      </c>
      <c r="C47" s="27">
        <v>3</v>
      </c>
      <c r="D47" s="27">
        <v>2</v>
      </c>
      <c r="E47" s="27">
        <v>3</v>
      </c>
      <c r="F47" s="28">
        <v>3</v>
      </c>
      <c r="G47" s="28">
        <v>3</v>
      </c>
      <c r="H47" s="28">
        <v>3</v>
      </c>
      <c r="I47" s="28">
        <v>2</v>
      </c>
      <c r="J47" s="28">
        <v>3</v>
      </c>
      <c r="K47" s="28">
        <v>3</v>
      </c>
      <c r="L47" s="28">
        <v>3</v>
      </c>
      <c r="M47" s="28">
        <v>3</v>
      </c>
      <c r="O47" s="25">
        <f t="shared" si="1"/>
        <v>29</v>
      </c>
      <c r="P47" s="27">
        <v>2.5</v>
      </c>
      <c r="Q47" s="27">
        <v>2.5</v>
      </c>
      <c r="R47" s="27">
        <v>3</v>
      </c>
      <c r="S47" s="27">
        <v>3</v>
      </c>
      <c r="T47" s="41"/>
      <c r="V47" s="25">
        <f t="shared" si="2"/>
        <v>29</v>
      </c>
      <c r="W47" s="26">
        <v>3</v>
      </c>
      <c r="X47" s="26">
        <v>3</v>
      </c>
    </row>
    <row r="48" spans="1:24" x14ac:dyDescent="0.25">
      <c r="A48" s="42">
        <f t="shared" si="0"/>
        <v>30</v>
      </c>
      <c r="B48" s="43">
        <v>2</v>
      </c>
      <c r="C48" s="43">
        <v>3</v>
      </c>
      <c r="D48" s="43">
        <v>2</v>
      </c>
      <c r="E48" s="43">
        <v>3</v>
      </c>
      <c r="F48" s="44">
        <v>3</v>
      </c>
      <c r="G48" s="44">
        <v>3</v>
      </c>
      <c r="H48" s="44">
        <v>3</v>
      </c>
      <c r="I48" s="44">
        <v>2</v>
      </c>
      <c r="J48" s="44">
        <v>3</v>
      </c>
      <c r="K48" s="44">
        <v>3</v>
      </c>
      <c r="L48" s="44">
        <v>3</v>
      </c>
      <c r="M48" s="44">
        <v>3</v>
      </c>
      <c r="O48" s="42">
        <f t="shared" si="1"/>
        <v>30</v>
      </c>
      <c r="P48" s="43">
        <v>2.5</v>
      </c>
      <c r="Q48" s="43">
        <v>2.5</v>
      </c>
      <c r="R48" s="43">
        <v>3</v>
      </c>
      <c r="S48" s="43">
        <v>3</v>
      </c>
      <c r="T48" s="45"/>
      <c r="V48" s="25">
        <f t="shared" si="2"/>
        <v>30</v>
      </c>
      <c r="W48" s="26">
        <v>3</v>
      </c>
      <c r="X48" s="26">
        <v>3</v>
      </c>
    </row>
    <row r="49" spans="1:24" x14ac:dyDescent="0.25">
      <c r="A49" s="25">
        <f t="shared" si="0"/>
        <v>31</v>
      </c>
      <c r="B49" s="27">
        <v>3</v>
      </c>
      <c r="C49" s="27">
        <v>3</v>
      </c>
      <c r="D49" s="27">
        <v>2</v>
      </c>
      <c r="E49" s="27">
        <v>3</v>
      </c>
      <c r="F49" s="28">
        <v>3</v>
      </c>
      <c r="G49" s="28">
        <v>3</v>
      </c>
      <c r="H49" s="28">
        <v>2</v>
      </c>
      <c r="I49" s="28">
        <v>3</v>
      </c>
      <c r="J49" s="28">
        <v>3</v>
      </c>
      <c r="K49" s="28">
        <v>3</v>
      </c>
      <c r="L49" s="28">
        <v>3</v>
      </c>
      <c r="M49" s="28">
        <v>3</v>
      </c>
      <c r="O49" s="25">
        <f t="shared" si="1"/>
        <v>31</v>
      </c>
      <c r="P49" s="27">
        <v>2</v>
      </c>
      <c r="Q49" s="27">
        <v>3</v>
      </c>
      <c r="R49" s="27">
        <v>3</v>
      </c>
      <c r="S49" s="27">
        <v>2</v>
      </c>
      <c r="T49" s="41"/>
      <c r="V49" s="25">
        <f t="shared" si="2"/>
        <v>31</v>
      </c>
      <c r="W49" s="26">
        <v>3</v>
      </c>
      <c r="X49" s="26">
        <v>3</v>
      </c>
    </row>
    <row r="50" spans="1:24" x14ac:dyDescent="0.25">
      <c r="A50" s="25">
        <f t="shared" si="0"/>
        <v>32</v>
      </c>
      <c r="B50" s="27">
        <v>3</v>
      </c>
      <c r="C50" s="28">
        <v>3</v>
      </c>
      <c r="D50" s="28">
        <v>2</v>
      </c>
      <c r="E50" s="28">
        <v>3</v>
      </c>
      <c r="F50" s="28">
        <v>3</v>
      </c>
      <c r="G50" s="28">
        <v>3</v>
      </c>
      <c r="H50" s="28">
        <v>2</v>
      </c>
      <c r="I50" s="28">
        <v>3</v>
      </c>
      <c r="J50" s="28">
        <v>3</v>
      </c>
      <c r="K50" s="28">
        <v>3</v>
      </c>
      <c r="L50" s="28">
        <v>3</v>
      </c>
      <c r="M50" s="28">
        <v>3</v>
      </c>
      <c r="O50" s="25">
        <f t="shared" si="1"/>
        <v>32</v>
      </c>
      <c r="P50" s="28">
        <v>2</v>
      </c>
      <c r="Q50" s="28">
        <v>3</v>
      </c>
      <c r="R50" s="28">
        <v>3</v>
      </c>
      <c r="S50" s="28">
        <v>2</v>
      </c>
      <c r="T50" s="41"/>
      <c r="V50" s="25">
        <f t="shared" si="2"/>
        <v>32</v>
      </c>
      <c r="W50" s="26">
        <v>3</v>
      </c>
      <c r="X50" s="26">
        <v>3</v>
      </c>
    </row>
    <row r="51" spans="1:24" x14ac:dyDescent="0.25">
      <c r="A51" s="25">
        <f t="shared" si="0"/>
        <v>33</v>
      </c>
      <c r="B51" s="27">
        <v>3</v>
      </c>
      <c r="C51" s="27">
        <v>3</v>
      </c>
      <c r="D51" s="27">
        <v>2</v>
      </c>
      <c r="E51" s="27">
        <v>3</v>
      </c>
      <c r="F51" s="28">
        <v>3</v>
      </c>
      <c r="G51" s="28">
        <v>3</v>
      </c>
      <c r="H51" s="28">
        <v>2</v>
      </c>
      <c r="I51" s="28">
        <v>3</v>
      </c>
      <c r="J51" s="28">
        <v>3</v>
      </c>
      <c r="K51" s="28">
        <v>3</v>
      </c>
      <c r="L51" s="28">
        <v>3</v>
      </c>
      <c r="M51" s="28">
        <v>3</v>
      </c>
      <c r="O51" s="25">
        <f t="shared" si="1"/>
        <v>33</v>
      </c>
      <c r="P51" s="27">
        <v>2</v>
      </c>
      <c r="Q51" s="27">
        <v>3</v>
      </c>
      <c r="R51" s="27">
        <v>3</v>
      </c>
      <c r="S51" s="27">
        <v>2</v>
      </c>
      <c r="T51" s="41"/>
      <c r="V51" s="25">
        <f t="shared" si="2"/>
        <v>33</v>
      </c>
      <c r="W51" s="26">
        <v>3</v>
      </c>
      <c r="X51" s="26">
        <v>3</v>
      </c>
    </row>
    <row r="52" spans="1:24" x14ac:dyDescent="0.25">
      <c r="A52" s="42">
        <f t="shared" si="0"/>
        <v>34</v>
      </c>
      <c r="B52" s="43">
        <v>3</v>
      </c>
      <c r="C52" s="43">
        <v>3</v>
      </c>
      <c r="D52" s="43">
        <v>2</v>
      </c>
      <c r="E52" s="43">
        <v>3</v>
      </c>
      <c r="F52" s="44">
        <v>3</v>
      </c>
      <c r="G52" s="44">
        <v>3</v>
      </c>
      <c r="H52" s="44">
        <v>2</v>
      </c>
      <c r="I52" s="44">
        <v>3</v>
      </c>
      <c r="J52" s="44">
        <v>3</v>
      </c>
      <c r="K52" s="44">
        <v>3</v>
      </c>
      <c r="L52" s="44">
        <v>3</v>
      </c>
      <c r="M52" s="44">
        <v>3</v>
      </c>
      <c r="O52" s="42">
        <f t="shared" si="1"/>
        <v>34</v>
      </c>
      <c r="P52" s="43">
        <v>2</v>
      </c>
      <c r="Q52" s="43">
        <v>3</v>
      </c>
      <c r="R52" s="43">
        <v>3</v>
      </c>
      <c r="S52" s="43">
        <v>2</v>
      </c>
      <c r="T52" s="45"/>
      <c r="V52" s="25">
        <f t="shared" si="2"/>
        <v>34</v>
      </c>
      <c r="W52" s="26">
        <v>3</v>
      </c>
      <c r="X52" s="26">
        <v>3</v>
      </c>
    </row>
    <row r="53" spans="1:24" x14ac:dyDescent="0.25">
      <c r="A53" s="25">
        <f t="shared" si="0"/>
        <v>35</v>
      </c>
      <c r="B53" s="27">
        <v>3</v>
      </c>
      <c r="C53" s="27">
        <v>3</v>
      </c>
      <c r="D53" s="27">
        <v>3</v>
      </c>
      <c r="E53" s="27">
        <v>3</v>
      </c>
      <c r="F53" s="28">
        <v>3</v>
      </c>
      <c r="G53" s="28">
        <v>2</v>
      </c>
      <c r="H53" s="28">
        <v>3</v>
      </c>
      <c r="I53" s="28">
        <v>3</v>
      </c>
      <c r="J53" s="28">
        <v>3</v>
      </c>
      <c r="K53" s="28">
        <v>3</v>
      </c>
      <c r="L53" s="28">
        <v>2</v>
      </c>
      <c r="M53" s="28">
        <v>3</v>
      </c>
      <c r="O53" s="25">
        <f t="shared" si="1"/>
        <v>35</v>
      </c>
      <c r="P53" s="27">
        <v>3</v>
      </c>
      <c r="Q53" s="27">
        <v>3</v>
      </c>
      <c r="R53" s="27">
        <v>2.5</v>
      </c>
      <c r="S53" s="27">
        <v>2</v>
      </c>
      <c r="T53" s="41"/>
      <c r="V53" s="25">
        <f t="shared" si="2"/>
        <v>35</v>
      </c>
      <c r="W53" s="26">
        <v>3</v>
      </c>
      <c r="X53" s="26">
        <v>3</v>
      </c>
    </row>
    <row r="54" spans="1:24" x14ac:dyDescent="0.25">
      <c r="A54" s="25">
        <f t="shared" si="0"/>
        <v>36</v>
      </c>
      <c r="B54" s="27">
        <v>3</v>
      </c>
      <c r="C54" s="27">
        <v>3</v>
      </c>
      <c r="D54" s="27">
        <v>3</v>
      </c>
      <c r="E54" s="27">
        <v>3</v>
      </c>
      <c r="F54" s="28">
        <v>3</v>
      </c>
      <c r="G54" s="28">
        <v>2</v>
      </c>
      <c r="H54" s="28">
        <v>3</v>
      </c>
      <c r="I54" s="28">
        <v>3</v>
      </c>
      <c r="J54" s="28">
        <v>3</v>
      </c>
      <c r="K54" s="28">
        <v>3</v>
      </c>
      <c r="L54" s="28">
        <v>2</v>
      </c>
      <c r="M54" s="28">
        <v>3</v>
      </c>
      <c r="O54" s="25">
        <f t="shared" si="1"/>
        <v>36</v>
      </c>
      <c r="P54" s="27">
        <v>3</v>
      </c>
      <c r="Q54" s="27">
        <v>3</v>
      </c>
      <c r="R54" s="27">
        <v>2.5</v>
      </c>
      <c r="S54" s="27">
        <v>2</v>
      </c>
      <c r="T54" s="41"/>
      <c r="V54" s="25">
        <f t="shared" si="2"/>
        <v>36</v>
      </c>
      <c r="W54" s="26">
        <v>3</v>
      </c>
      <c r="X54" s="26">
        <v>3</v>
      </c>
    </row>
    <row r="55" spans="1:24" x14ac:dyDescent="0.25">
      <c r="A55" s="25">
        <f t="shared" si="0"/>
        <v>37</v>
      </c>
      <c r="B55" s="27">
        <v>3</v>
      </c>
      <c r="C55" s="27">
        <v>3</v>
      </c>
      <c r="D55" s="27">
        <v>3</v>
      </c>
      <c r="E55" s="27">
        <v>3</v>
      </c>
      <c r="F55" s="28">
        <v>3</v>
      </c>
      <c r="G55" s="28">
        <v>2</v>
      </c>
      <c r="H55" s="28">
        <v>3</v>
      </c>
      <c r="I55" s="28">
        <v>3</v>
      </c>
      <c r="J55" s="28">
        <v>3</v>
      </c>
      <c r="K55" s="28">
        <v>3</v>
      </c>
      <c r="L55" s="28">
        <v>2</v>
      </c>
      <c r="M55" s="28">
        <v>3</v>
      </c>
      <c r="O55" s="25">
        <f t="shared" si="1"/>
        <v>37</v>
      </c>
      <c r="P55" s="28">
        <v>3</v>
      </c>
      <c r="Q55" s="28">
        <v>3</v>
      </c>
      <c r="R55" s="28">
        <v>2.5</v>
      </c>
      <c r="S55" s="28">
        <v>2</v>
      </c>
      <c r="T55" s="28"/>
      <c r="V55" s="25">
        <f t="shared" si="2"/>
        <v>37</v>
      </c>
      <c r="W55" s="26">
        <v>3</v>
      </c>
      <c r="X55" s="26">
        <v>3</v>
      </c>
    </row>
    <row r="56" spans="1:24" x14ac:dyDescent="0.25">
      <c r="A56" s="42">
        <f t="shared" si="0"/>
        <v>38</v>
      </c>
      <c r="B56" s="43">
        <v>3</v>
      </c>
      <c r="C56" s="43">
        <v>3</v>
      </c>
      <c r="D56" s="43">
        <v>3</v>
      </c>
      <c r="E56" s="43">
        <v>3</v>
      </c>
      <c r="F56" s="43">
        <v>3</v>
      </c>
      <c r="G56" s="43">
        <v>2</v>
      </c>
      <c r="H56" s="43">
        <v>3</v>
      </c>
      <c r="I56" s="43">
        <v>3</v>
      </c>
      <c r="J56" s="43">
        <v>3</v>
      </c>
      <c r="K56" s="43">
        <v>3</v>
      </c>
      <c r="L56" s="43">
        <v>2</v>
      </c>
      <c r="M56" s="43">
        <v>3</v>
      </c>
      <c r="O56" s="42">
        <f t="shared" si="1"/>
        <v>38</v>
      </c>
      <c r="P56" s="43">
        <v>3</v>
      </c>
      <c r="Q56" s="43">
        <v>3</v>
      </c>
      <c r="R56" s="43">
        <v>2.5</v>
      </c>
      <c r="S56" s="43">
        <v>2</v>
      </c>
      <c r="T56" s="45"/>
      <c r="V56" s="25">
        <f t="shared" si="2"/>
        <v>38</v>
      </c>
      <c r="W56" s="26">
        <v>3</v>
      </c>
      <c r="X56" s="26">
        <v>3</v>
      </c>
    </row>
    <row r="57" spans="1:24" x14ac:dyDescent="0.25">
      <c r="A57" s="25">
        <f t="shared" si="0"/>
        <v>39</v>
      </c>
      <c r="B57" s="27">
        <v>3</v>
      </c>
      <c r="C57" s="27">
        <v>3</v>
      </c>
      <c r="D57" s="27">
        <v>3</v>
      </c>
      <c r="E57" s="27">
        <v>3</v>
      </c>
      <c r="F57" s="27">
        <v>3</v>
      </c>
      <c r="G57" s="27">
        <v>3</v>
      </c>
      <c r="H57" s="27">
        <v>3</v>
      </c>
      <c r="I57" s="27">
        <v>3</v>
      </c>
      <c r="J57" s="27">
        <v>1</v>
      </c>
      <c r="K57" s="27">
        <v>3</v>
      </c>
      <c r="L57" s="27">
        <v>2</v>
      </c>
      <c r="M57" s="26">
        <v>3</v>
      </c>
      <c r="O57" s="25">
        <f t="shared" si="1"/>
        <v>39</v>
      </c>
      <c r="P57" s="27">
        <v>3</v>
      </c>
      <c r="Q57" s="27">
        <v>3</v>
      </c>
      <c r="R57" s="27">
        <v>3</v>
      </c>
      <c r="S57" s="27">
        <v>2</v>
      </c>
      <c r="T57" s="41"/>
      <c r="V57" s="25">
        <f t="shared" si="2"/>
        <v>39</v>
      </c>
      <c r="W57" s="26">
        <v>3</v>
      </c>
      <c r="X57" s="26">
        <v>3</v>
      </c>
    </row>
    <row r="58" spans="1:24" x14ac:dyDescent="0.25">
      <c r="A58" s="25">
        <f t="shared" si="0"/>
        <v>40</v>
      </c>
      <c r="B58" s="27">
        <v>3</v>
      </c>
      <c r="C58" s="27">
        <v>3</v>
      </c>
      <c r="D58" s="27">
        <v>3</v>
      </c>
      <c r="E58" s="27">
        <v>3</v>
      </c>
      <c r="F58" s="27">
        <v>3</v>
      </c>
      <c r="G58" s="27">
        <v>3</v>
      </c>
      <c r="H58" s="27">
        <v>3</v>
      </c>
      <c r="I58" s="27">
        <v>3</v>
      </c>
      <c r="J58" s="27">
        <v>1</v>
      </c>
      <c r="K58" s="27">
        <v>3</v>
      </c>
      <c r="L58" s="27">
        <v>2</v>
      </c>
      <c r="M58" s="26">
        <v>3</v>
      </c>
      <c r="O58" s="25">
        <f t="shared" si="1"/>
        <v>40</v>
      </c>
      <c r="P58" s="27">
        <v>3</v>
      </c>
      <c r="Q58" s="27">
        <v>3</v>
      </c>
      <c r="R58" s="27">
        <v>3</v>
      </c>
      <c r="S58" s="27">
        <v>2</v>
      </c>
      <c r="T58" s="41"/>
      <c r="V58" s="25">
        <f t="shared" si="2"/>
        <v>40</v>
      </c>
      <c r="W58" s="26">
        <v>3</v>
      </c>
      <c r="X58" s="26">
        <v>3</v>
      </c>
    </row>
    <row r="59" spans="1:24" x14ac:dyDescent="0.25">
      <c r="A59" s="25">
        <f t="shared" si="0"/>
        <v>41</v>
      </c>
      <c r="B59" s="27">
        <v>3</v>
      </c>
      <c r="C59" s="27">
        <v>3</v>
      </c>
      <c r="D59" s="27">
        <v>3</v>
      </c>
      <c r="E59" s="27">
        <v>3</v>
      </c>
      <c r="F59" s="27">
        <v>3</v>
      </c>
      <c r="G59" s="27">
        <v>3</v>
      </c>
      <c r="H59" s="27">
        <v>3</v>
      </c>
      <c r="I59" s="27">
        <v>3</v>
      </c>
      <c r="J59" s="27">
        <v>1</v>
      </c>
      <c r="K59" s="27">
        <v>3</v>
      </c>
      <c r="L59" s="27">
        <v>2</v>
      </c>
      <c r="M59" s="27">
        <v>3</v>
      </c>
      <c r="O59" s="25">
        <f t="shared" si="1"/>
        <v>41</v>
      </c>
      <c r="P59" s="27">
        <v>3</v>
      </c>
      <c r="Q59" s="27">
        <v>3</v>
      </c>
      <c r="R59" s="27">
        <v>3</v>
      </c>
      <c r="S59" s="27">
        <v>2</v>
      </c>
      <c r="T59" s="41"/>
      <c r="V59" s="25">
        <f t="shared" si="2"/>
        <v>41</v>
      </c>
      <c r="W59" s="26">
        <v>3</v>
      </c>
      <c r="X59" s="26">
        <v>3</v>
      </c>
    </row>
    <row r="60" spans="1:24" x14ac:dyDescent="0.25">
      <c r="A60" s="42">
        <f t="shared" si="0"/>
        <v>42</v>
      </c>
      <c r="B60" s="43">
        <v>3</v>
      </c>
      <c r="C60" s="43">
        <v>3</v>
      </c>
      <c r="D60" s="43">
        <v>3</v>
      </c>
      <c r="E60" s="43">
        <v>3</v>
      </c>
      <c r="F60" s="43">
        <v>3</v>
      </c>
      <c r="G60" s="43">
        <v>3</v>
      </c>
      <c r="H60" s="43">
        <v>3</v>
      </c>
      <c r="I60" s="43">
        <v>3</v>
      </c>
      <c r="J60" s="43">
        <v>1</v>
      </c>
      <c r="K60" s="43">
        <v>3</v>
      </c>
      <c r="L60" s="43">
        <v>2</v>
      </c>
      <c r="M60" s="43">
        <v>3</v>
      </c>
      <c r="O60" s="42">
        <f t="shared" si="1"/>
        <v>42</v>
      </c>
      <c r="P60" s="43">
        <v>3</v>
      </c>
      <c r="Q60" s="43">
        <v>3</v>
      </c>
      <c r="R60" s="43">
        <v>3</v>
      </c>
      <c r="S60" s="43">
        <v>2</v>
      </c>
      <c r="T60" s="45"/>
      <c r="V60" s="25">
        <f t="shared" si="2"/>
        <v>42</v>
      </c>
      <c r="W60" s="26">
        <v>3</v>
      </c>
      <c r="X60" s="26">
        <v>3</v>
      </c>
    </row>
    <row r="61" spans="1:24" x14ac:dyDescent="0.25">
      <c r="A61" s="25">
        <f t="shared" si="0"/>
        <v>43</v>
      </c>
      <c r="B61" s="27">
        <v>2</v>
      </c>
      <c r="C61" s="27">
        <v>3</v>
      </c>
      <c r="D61" s="27">
        <v>3</v>
      </c>
      <c r="E61" s="27">
        <v>2</v>
      </c>
      <c r="F61" s="27">
        <v>3</v>
      </c>
      <c r="G61" s="27">
        <v>2</v>
      </c>
      <c r="H61" s="27">
        <v>3</v>
      </c>
      <c r="I61" s="27">
        <v>2</v>
      </c>
      <c r="J61" s="27">
        <v>3</v>
      </c>
      <c r="K61" s="27">
        <v>2</v>
      </c>
      <c r="L61" s="27">
        <v>3</v>
      </c>
      <c r="M61" s="26">
        <v>3</v>
      </c>
      <c r="O61" s="25">
        <f t="shared" si="1"/>
        <v>43</v>
      </c>
      <c r="P61" s="27">
        <v>3</v>
      </c>
      <c r="Q61" s="27">
        <v>3</v>
      </c>
      <c r="R61" s="27">
        <v>3</v>
      </c>
      <c r="S61" s="27">
        <v>2</v>
      </c>
      <c r="T61" s="41"/>
      <c r="V61" s="25">
        <f t="shared" si="2"/>
        <v>43</v>
      </c>
      <c r="W61" s="26">
        <v>3</v>
      </c>
      <c r="X61" s="26">
        <v>3</v>
      </c>
    </row>
    <row r="62" spans="1:24" x14ac:dyDescent="0.25">
      <c r="A62" s="25">
        <f t="shared" si="0"/>
        <v>44</v>
      </c>
      <c r="B62" s="27">
        <v>2</v>
      </c>
      <c r="C62" s="27">
        <v>3</v>
      </c>
      <c r="D62" s="27">
        <v>3</v>
      </c>
      <c r="E62" s="27">
        <v>2</v>
      </c>
      <c r="F62" s="27">
        <v>3</v>
      </c>
      <c r="G62" s="27">
        <v>2</v>
      </c>
      <c r="H62" s="27">
        <v>3</v>
      </c>
      <c r="I62" s="27">
        <v>2</v>
      </c>
      <c r="J62" s="27">
        <v>3</v>
      </c>
      <c r="K62" s="27">
        <v>2</v>
      </c>
      <c r="L62" s="27">
        <v>3</v>
      </c>
      <c r="M62" s="26">
        <v>3</v>
      </c>
      <c r="O62" s="25">
        <f t="shared" si="1"/>
        <v>44</v>
      </c>
      <c r="P62" s="27">
        <v>3</v>
      </c>
      <c r="Q62" s="27">
        <v>3</v>
      </c>
      <c r="R62" s="27">
        <v>3</v>
      </c>
      <c r="S62" s="27">
        <v>2</v>
      </c>
      <c r="T62" s="41"/>
      <c r="V62" s="25">
        <f t="shared" si="2"/>
        <v>44</v>
      </c>
      <c r="W62" s="26">
        <v>3</v>
      </c>
      <c r="X62" s="26">
        <v>3</v>
      </c>
    </row>
    <row r="63" spans="1:24" x14ac:dyDescent="0.25">
      <c r="A63" s="25">
        <f t="shared" si="0"/>
        <v>45</v>
      </c>
      <c r="B63" s="27">
        <v>2</v>
      </c>
      <c r="C63" s="27">
        <v>3</v>
      </c>
      <c r="D63" s="27">
        <v>3</v>
      </c>
      <c r="E63" s="27">
        <v>2</v>
      </c>
      <c r="F63" s="27">
        <v>3</v>
      </c>
      <c r="G63" s="27">
        <v>2</v>
      </c>
      <c r="H63" s="27">
        <v>3</v>
      </c>
      <c r="I63" s="27">
        <v>2</v>
      </c>
      <c r="J63" s="27">
        <v>3</v>
      </c>
      <c r="K63" s="27">
        <v>2</v>
      </c>
      <c r="L63" s="27">
        <v>3</v>
      </c>
      <c r="M63" s="26">
        <v>3</v>
      </c>
      <c r="O63" s="25">
        <f t="shared" si="1"/>
        <v>45</v>
      </c>
      <c r="P63" s="27">
        <v>3</v>
      </c>
      <c r="Q63" s="27">
        <v>3</v>
      </c>
      <c r="R63" s="27">
        <v>3</v>
      </c>
      <c r="S63" s="27">
        <v>2</v>
      </c>
      <c r="T63" s="41"/>
      <c r="V63" s="25">
        <f t="shared" si="2"/>
        <v>45</v>
      </c>
      <c r="W63" s="26">
        <v>3</v>
      </c>
      <c r="X63" s="26">
        <v>3</v>
      </c>
    </row>
    <row r="64" spans="1:24" x14ac:dyDescent="0.25">
      <c r="A64" s="42">
        <f t="shared" si="0"/>
        <v>46</v>
      </c>
      <c r="B64" s="43">
        <v>2</v>
      </c>
      <c r="C64" s="43">
        <v>3</v>
      </c>
      <c r="D64" s="43">
        <v>3</v>
      </c>
      <c r="E64" s="43">
        <v>2</v>
      </c>
      <c r="F64" s="43">
        <v>3</v>
      </c>
      <c r="G64" s="43">
        <v>2</v>
      </c>
      <c r="H64" s="43">
        <v>3</v>
      </c>
      <c r="I64" s="43">
        <v>2</v>
      </c>
      <c r="J64" s="43">
        <v>3</v>
      </c>
      <c r="K64" s="43">
        <v>2</v>
      </c>
      <c r="L64" s="43">
        <v>3</v>
      </c>
      <c r="M64" s="43">
        <v>3</v>
      </c>
      <c r="O64" s="42">
        <f t="shared" si="1"/>
        <v>46</v>
      </c>
      <c r="P64" s="43">
        <v>3</v>
      </c>
      <c r="Q64" s="43">
        <v>3</v>
      </c>
      <c r="R64" s="43">
        <v>3</v>
      </c>
      <c r="S64" s="43">
        <v>2</v>
      </c>
      <c r="T64" s="45"/>
      <c r="V64" s="25">
        <f t="shared" si="2"/>
        <v>46</v>
      </c>
      <c r="W64" s="26">
        <v>3</v>
      </c>
      <c r="X64" s="26">
        <v>3</v>
      </c>
    </row>
    <row r="65" spans="1:24" x14ac:dyDescent="0.25">
      <c r="A65" s="25">
        <f t="shared" si="0"/>
        <v>47</v>
      </c>
      <c r="B65" s="27">
        <v>3</v>
      </c>
      <c r="C65" s="27">
        <v>3</v>
      </c>
      <c r="D65" s="27">
        <v>2</v>
      </c>
      <c r="E65" s="27">
        <v>2</v>
      </c>
      <c r="F65" s="27">
        <v>2</v>
      </c>
      <c r="G65" s="27">
        <v>3</v>
      </c>
      <c r="H65" s="27">
        <v>2</v>
      </c>
      <c r="I65" s="27">
        <v>2</v>
      </c>
      <c r="J65" s="27">
        <v>3</v>
      </c>
      <c r="K65" s="27">
        <v>3</v>
      </c>
      <c r="L65" s="27">
        <v>3</v>
      </c>
      <c r="M65" s="26">
        <v>3</v>
      </c>
      <c r="O65" s="25">
        <f t="shared" si="1"/>
        <v>47</v>
      </c>
      <c r="P65" s="27">
        <v>3</v>
      </c>
      <c r="Q65" s="27">
        <v>3</v>
      </c>
      <c r="R65" s="27">
        <v>3</v>
      </c>
      <c r="S65" s="27">
        <v>2</v>
      </c>
      <c r="T65" s="41"/>
      <c r="V65" s="25">
        <f t="shared" si="2"/>
        <v>47</v>
      </c>
      <c r="W65" s="26">
        <v>3</v>
      </c>
      <c r="X65" s="26">
        <v>3</v>
      </c>
    </row>
    <row r="66" spans="1:24" x14ac:dyDescent="0.25">
      <c r="A66" s="25">
        <f t="shared" si="0"/>
        <v>48</v>
      </c>
      <c r="B66" s="27">
        <v>3</v>
      </c>
      <c r="C66" s="27">
        <v>3</v>
      </c>
      <c r="D66" s="27">
        <v>2</v>
      </c>
      <c r="E66" s="27">
        <v>2</v>
      </c>
      <c r="F66" s="27">
        <v>2</v>
      </c>
      <c r="G66" s="27">
        <v>3</v>
      </c>
      <c r="H66" s="27">
        <v>2</v>
      </c>
      <c r="I66" s="27">
        <v>2</v>
      </c>
      <c r="J66" s="27">
        <v>3</v>
      </c>
      <c r="K66" s="27">
        <v>3</v>
      </c>
      <c r="L66" s="27">
        <v>3</v>
      </c>
      <c r="M66" s="26">
        <v>3</v>
      </c>
      <c r="O66" s="25">
        <f t="shared" si="1"/>
        <v>48</v>
      </c>
      <c r="P66" s="27">
        <v>3</v>
      </c>
      <c r="Q66" s="27">
        <v>3</v>
      </c>
      <c r="R66" s="27">
        <v>3</v>
      </c>
      <c r="S66" s="27">
        <v>2</v>
      </c>
      <c r="T66" s="41"/>
      <c r="V66" s="25">
        <f t="shared" si="2"/>
        <v>48</v>
      </c>
      <c r="W66" s="26">
        <v>3</v>
      </c>
      <c r="X66" s="26">
        <v>3</v>
      </c>
    </row>
    <row r="67" spans="1:24" x14ac:dyDescent="0.25">
      <c r="A67" s="25">
        <f t="shared" si="0"/>
        <v>49</v>
      </c>
      <c r="B67" s="27">
        <v>3</v>
      </c>
      <c r="C67" s="27">
        <v>3</v>
      </c>
      <c r="D67" s="27">
        <v>2</v>
      </c>
      <c r="E67" s="27">
        <v>2</v>
      </c>
      <c r="F67" s="27">
        <v>2</v>
      </c>
      <c r="G67" s="27">
        <v>3</v>
      </c>
      <c r="H67" s="27">
        <v>2</v>
      </c>
      <c r="I67" s="27">
        <v>2</v>
      </c>
      <c r="J67" s="27">
        <v>3</v>
      </c>
      <c r="K67" s="27">
        <v>3</v>
      </c>
      <c r="L67" s="27">
        <v>3</v>
      </c>
      <c r="M67" s="26">
        <v>3</v>
      </c>
      <c r="O67" s="25">
        <f t="shared" si="1"/>
        <v>49</v>
      </c>
      <c r="P67" s="27">
        <v>3</v>
      </c>
      <c r="Q67" s="27">
        <v>3</v>
      </c>
      <c r="R67" s="27">
        <v>3</v>
      </c>
      <c r="S67" s="27">
        <v>2</v>
      </c>
      <c r="T67" s="41"/>
      <c r="V67" s="25">
        <f t="shared" si="2"/>
        <v>49</v>
      </c>
      <c r="W67" s="26">
        <v>3</v>
      </c>
      <c r="X67" s="26">
        <v>3</v>
      </c>
    </row>
    <row r="68" spans="1:24" x14ac:dyDescent="0.25">
      <c r="A68" s="42">
        <f t="shared" si="0"/>
        <v>50</v>
      </c>
      <c r="B68" s="43">
        <v>3</v>
      </c>
      <c r="C68" s="43">
        <v>3</v>
      </c>
      <c r="D68" s="43">
        <v>2</v>
      </c>
      <c r="E68" s="43">
        <v>2</v>
      </c>
      <c r="F68" s="43">
        <v>2</v>
      </c>
      <c r="G68" s="43">
        <v>3</v>
      </c>
      <c r="H68" s="43">
        <v>2</v>
      </c>
      <c r="I68" s="43">
        <v>2</v>
      </c>
      <c r="J68" s="43">
        <v>3</v>
      </c>
      <c r="K68" s="43">
        <v>3</v>
      </c>
      <c r="L68" s="43">
        <v>3</v>
      </c>
      <c r="M68" s="43">
        <v>3</v>
      </c>
      <c r="O68" s="42">
        <f t="shared" si="1"/>
        <v>50</v>
      </c>
      <c r="P68" s="43">
        <v>3</v>
      </c>
      <c r="Q68" s="43">
        <v>3</v>
      </c>
      <c r="R68" s="43">
        <v>3</v>
      </c>
      <c r="S68" s="43">
        <v>2</v>
      </c>
      <c r="T68" s="45"/>
      <c r="V68" s="25">
        <f t="shared" si="2"/>
        <v>50</v>
      </c>
      <c r="W68" s="26">
        <v>3</v>
      </c>
      <c r="X68" s="26">
        <v>3</v>
      </c>
    </row>
    <row r="69" spans="1:24" x14ac:dyDescent="0.25">
      <c r="A69" s="25">
        <f t="shared" si="0"/>
        <v>51</v>
      </c>
      <c r="B69" s="27">
        <v>3</v>
      </c>
      <c r="C69" s="27">
        <v>3</v>
      </c>
      <c r="D69" s="27">
        <v>3</v>
      </c>
      <c r="E69" s="27">
        <v>3</v>
      </c>
      <c r="F69" s="27">
        <v>3</v>
      </c>
      <c r="G69" s="27">
        <v>3</v>
      </c>
      <c r="H69" s="27">
        <v>3</v>
      </c>
      <c r="I69" s="27">
        <v>3</v>
      </c>
      <c r="J69" s="27">
        <v>3</v>
      </c>
      <c r="K69" s="27">
        <v>3</v>
      </c>
      <c r="L69" s="27">
        <v>2</v>
      </c>
      <c r="M69" s="26">
        <v>3</v>
      </c>
      <c r="O69" s="25">
        <f t="shared" si="1"/>
        <v>51</v>
      </c>
      <c r="P69" s="27">
        <v>2</v>
      </c>
      <c r="Q69" s="27">
        <v>3</v>
      </c>
      <c r="R69" s="27">
        <v>3</v>
      </c>
      <c r="S69" s="27">
        <v>2</v>
      </c>
      <c r="T69" s="41"/>
      <c r="V69" s="25">
        <f t="shared" si="2"/>
        <v>51</v>
      </c>
      <c r="W69" s="26">
        <v>3</v>
      </c>
      <c r="X69" s="26">
        <v>3</v>
      </c>
    </row>
    <row r="70" spans="1:24" x14ac:dyDescent="0.25">
      <c r="A70" s="25">
        <f t="shared" si="0"/>
        <v>52</v>
      </c>
      <c r="B70" s="27">
        <v>3</v>
      </c>
      <c r="C70" s="27">
        <v>3</v>
      </c>
      <c r="D70" s="27">
        <v>3</v>
      </c>
      <c r="E70" s="27">
        <v>3</v>
      </c>
      <c r="F70" s="27">
        <v>3</v>
      </c>
      <c r="G70" s="27">
        <v>3</v>
      </c>
      <c r="H70" s="27">
        <v>3</v>
      </c>
      <c r="I70" s="27">
        <v>3</v>
      </c>
      <c r="J70" s="27">
        <v>3</v>
      </c>
      <c r="K70" s="27">
        <v>3</v>
      </c>
      <c r="L70" s="27">
        <v>2</v>
      </c>
      <c r="M70" s="27">
        <v>3</v>
      </c>
      <c r="O70" s="25">
        <f t="shared" si="1"/>
        <v>52</v>
      </c>
      <c r="P70" s="27">
        <v>2</v>
      </c>
      <c r="Q70" s="27">
        <v>3</v>
      </c>
      <c r="R70" s="27">
        <v>3</v>
      </c>
      <c r="S70" s="27">
        <v>2</v>
      </c>
      <c r="T70" s="41"/>
      <c r="V70" s="25">
        <f t="shared" si="2"/>
        <v>52</v>
      </c>
      <c r="W70" s="26">
        <v>3</v>
      </c>
      <c r="X70" s="26">
        <v>3</v>
      </c>
    </row>
    <row r="71" spans="1:24" x14ac:dyDescent="0.25">
      <c r="A71" s="42">
        <f>A70+1</f>
        <v>53</v>
      </c>
      <c r="B71" s="43">
        <v>3</v>
      </c>
      <c r="C71" s="43">
        <v>3</v>
      </c>
      <c r="D71" s="43">
        <v>3</v>
      </c>
      <c r="E71" s="43">
        <v>3</v>
      </c>
      <c r="F71" s="43">
        <v>3</v>
      </c>
      <c r="G71" s="43">
        <v>3</v>
      </c>
      <c r="H71" s="43">
        <v>3</v>
      </c>
      <c r="I71" s="43">
        <v>3</v>
      </c>
      <c r="J71" s="43">
        <v>3</v>
      </c>
      <c r="K71" s="43">
        <v>3</v>
      </c>
      <c r="L71" s="43">
        <v>2</v>
      </c>
      <c r="M71" s="43">
        <v>3</v>
      </c>
      <c r="O71" s="42">
        <f t="shared" si="1"/>
        <v>53</v>
      </c>
      <c r="P71" s="43">
        <v>2</v>
      </c>
      <c r="Q71" s="43">
        <v>3</v>
      </c>
      <c r="R71" s="43">
        <v>3</v>
      </c>
      <c r="S71" s="43">
        <v>2</v>
      </c>
      <c r="T71" s="45"/>
      <c r="V71" s="25">
        <f t="shared" si="2"/>
        <v>53</v>
      </c>
      <c r="W71" s="26">
        <v>3</v>
      </c>
      <c r="X71" s="26">
        <v>3</v>
      </c>
    </row>
    <row r="72" spans="1:24" x14ac:dyDescent="0.25">
      <c r="A72" s="25">
        <f t="shared" si="0"/>
        <v>54</v>
      </c>
      <c r="B72" s="27">
        <v>3</v>
      </c>
      <c r="C72" s="27">
        <v>2</v>
      </c>
      <c r="D72" s="27">
        <v>3</v>
      </c>
      <c r="E72" s="27">
        <v>3</v>
      </c>
      <c r="F72" s="27">
        <v>3</v>
      </c>
      <c r="G72" s="27">
        <v>3</v>
      </c>
      <c r="H72" s="27">
        <v>2</v>
      </c>
      <c r="I72" s="27">
        <v>1</v>
      </c>
      <c r="J72" s="27">
        <v>3</v>
      </c>
      <c r="K72" s="27">
        <v>2</v>
      </c>
      <c r="L72" s="27">
        <v>3</v>
      </c>
      <c r="M72" s="26">
        <v>3</v>
      </c>
      <c r="O72" s="25">
        <f t="shared" si="1"/>
        <v>54</v>
      </c>
      <c r="P72" s="27">
        <v>3</v>
      </c>
      <c r="Q72" s="27">
        <v>2.5</v>
      </c>
      <c r="R72" s="27">
        <v>3</v>
      </c>
      <c r="S72" s="27">
        <v>2</v>
      </c>
      <c r="T72" s="41"/>
      <c r="V72" s="25">
        <f t="shared" si="2"/>
        <v>54</v>
      </c>
      <c r="W72" s="26">
        <v>3</v>
      </c>
      <c r="X72" s="26">
        <v>3</v>
      </c>
    </row>
    <row r="73" spans="1:24" x14ac:dyDescent="0.25">
      <c r="A73" s="25">
        <f t="shared" si="0"/>
        <v>55</v>
      </c>
      <c r="B73" s="27">
        <v>3</v>
      </c>
      <c r="C73" s="27">
        <v>2</v>
      </c>
      <c r="D73" s="27">
        <v>3</v>
      </c>
      <c r="E73" s="27">
        <v>3</v>
      </c>
      <c r="F73" s="27">
        <v>3</v>
      </c>
      <c r="G73" s="27">
        <v>3</v>
      </c>
      <c r="H73" s="27">
        <v>2</v>
      </c>
      <c r="I73" s="27">
        <v>1</v>
      </c>
      <c r="J73" s="27">
        <v>3</v>
      </c>
      <c r="K73" s="27">
        <v>2</v>
      </c>
      <c r="L73" s="27">
        <v>3</v>
      </c>
      <c r="M73" s="26">
        <v>3</v>
      </c>
      <c r="O73" s="25">
        <f t="shared" si="1"/>
        <v>55</v>
      </c>
      <c r="P73" s="27">
        <v>3</v>
      </c>
      <c r="Q73" s="27">
        <v>2.5</v>
      </c>
      <c r="R73" s="27">
        <v>3</v>
      </c>
      <c r="S73" s="27">
        <v>2</v>
      </c>
      <c r="T73" s="41"/>
      <c r="V73" s="25">
        <f t="shared" si="2"/>
        <v>55</v>
      </c>
      <c r="W73" s="26">
        <v>3</v>
      </c>
      <c r="X73" s="26">
        <v>3</v>
      </c>
    </row>
    <row r="74" spans="1:24" x14ac:dyDescent="0.25">
      <c r="A74" s="42">
        <f>A73+1</f>
        <v>56</v>
      </c>
      <c r="B74" s="43">
        <v>3</v>
      </c>
      <c r="C74" s="43">
        <v>2</v>
      </c>
      <c r="D74" s="43">
        <v>3</v>
      </c>
      <c r="E74" s="43">
        <v>3</v>
      </c>
      <c r="F74" s="43">
        <v>3</v>
      </c>
      <c r="G74" s="43">
        <v>3</v>
      </c>
      <c r="H74" s="43">
        <v>2</v>
      </c>
      <c r="I74" s="43">
        <v>1</v>
      </c>
      <c r="J74" s="43">
        <v>3</v>
      </c>
      <c r="K74" s="43">
        <v>2</v>
      </c>
      <c r="L74" s="43">
        <v>3</v>
      </c>
      <c r="M74" s="43">
        <v>3</v>
      </c>
      <c r="O74" s="42">
        <f t="shared" si="1"/>
        <v>56</v>
      </c>
      <c r="P74" s="43">
        <v>3</v>
      </c>
      <c r="Q74" s="43">
        <v>2.5</v>
      </c>
      <c r="R74" s="43">
        <v>3</v>
      </c>
      <c r="S74" s="43">
        <v>2</v>
      </c>
      <c r="T74" s="45"/>
      <c r="V74" s="25">
        <f t="shared" si="2"/>
        <v>56</v>
      </c>
      <c r="W74" s="26">
        <v>3</v>
      </c>
      <c r="X74" s="26">
        <v>3</v>
      </c>
    </row>
    <row r="75" spans="1:24" x14ac:dyDescent="0.25">
      <c r="A75" s="25">
        <f t="shared" si="0"/>
        <v>57</v>
      </c>
      <c r="B75" s="40">
        <v>3</v>
      </c>
      <c r="C75" s="27">
        <v>2</v>
      </c>
      <c r="D75" s="27">
        <v>2</v>
      </c>
      <c r="E75" s="27">
        <v>2</v>
      </c>
      <c r="F75" s="27">
        <v>2</v>
      </c>
      <c r="G75" s="27">
        <v>3</v>
      </c>
      <c r="H75" s="27">
        <v>3</v>
      </c>
      <c r="I75" s="27">
        <v>3</v>
      </c>
      <c r="J75" s="27">
        <v>1</v>
      </c>
      <c r="K75" s="27">
        <v>3</v>
      </c>
      <c r="L75" s="27">
        <v>2</v>
      </c>
      <c r="M75" s="27">
        <v>3</v>
      </c>
      <c r="O75" s="25">
        <f t="shared" si="1"/>
        <v>57</v>
      </c>
      <c r="P75" s="27">
        <v>3</v>
      </c>
      <c r="Q75" s="27">
        <v>3</v>
      </c>
      <c r="R75" s="27">
        <v>3</v>
      </c>
      <c r="S75" s="27">
        <v>2.5</v>
      </c>
      <c r="T75" s="41"/>
      <c r="V75" s="25">
        <f t="shared" si="2"/>
        <v>57</v>
      </c>
      <c r="W75" s="26">
        <v>3</v>
      </c>
      <c r="X75" s="26">
        <v>3</v>
      </c>
    </row>
    <row r="76" spans="1:24" x14ac:dyDescent="0.25">
      <c r="A76" s="25">
        <f t="shared" si="0"/>
        <v>58</v>
      </c>
      <c r="B76" s="27">
        <v>3</v>
      </c>
      <c r="C76" s="27">
        <v>2</v>
      </c>
      <c r="D76" s="27">
        <v>2</v>
      </c>
      <c r="E76" s="27">
        <v>2</v>
      </c>
      <c r="F76" s="27">
        <v>2</v>
      </c>
      <c r="G76" s="27">
        <v>3</v>
      </c>
      <c r="H76" s="27">
        <v>3</v>
      </c>
      <c r="I76" s="27">
        <v>3</v>
      </c>
      <c r="J76" s="27">
        <v>1</v>
      </c>
      <c r="K76" s="27">
        <v>3</v>
      </c>
      <c r="L76" s="27">
        <v>2</v>
      </c>
      <c r="M76" s="26">
        <v>3</v>
      </c>
      <c r="O76" s="25">
        <f t="shared" si="1"/>
        <v>58</v>
      </c>
      <c r="P76" s="27">
        <v>3</v>
      </c>
      <c r="Q76" s="27">
        <v>3</v>
      </c>
      <c r="R76" s="27">
        <v>3</v>
      </c>
      <c r="S76" s="27">
        <v>2.5</v>
      </c>
      <c r="T76" s="41"/>
      <c r="V76" s="25">
        <f t="shared" si="2"/>
        <v>58</v>
      </c>
      <c r="W76" s="26">
        <v>3</v>
      </c>
      <c r="X76" s="26">
        <v>3</v>
      </c>
    </row>
    <row r="77" spans="1:24" x14ac:dyDescent="0.25">
      <c r="A77" s="25">
        <f t="shared" si="0"/>
        <v>59</v>
      </c>
      <c r="B77" s="27">
        <v>3</v>
      </c>
      <c r="C77" s="27">
        <v>2</v>
      </c>
      <c r="D77" s="27">
        <v>2</v>
      </c>
      <c r="E77" s="27">
        <v>2</v>
      </c>
      <c r="F77" s="27">
        <v>2</v>
      </c>
      <c r="G77" s="27">
        <v>3</v>
      </c>
      <c r="H77" s="27">
        <v>3</v>
      </c>
      <c r="I77" s="27">
        <v>3</v>
      </c>
      <c r="J77" s="27">
        <v>1</v>
      </c>
      <c r="K77" s="27">
        <v>3</v>
      </c>
      <c r="L77" s="27">
        <v>2</v>
      </c>
      <c r="M77" s="26">
        <v>3</v>
      </c>
      <c r="O77" s="25">
        <f t="shared" si="1"/>
        <v>59</v>
      </c>
      <c r="P77" s="27">
        <v>3</v>
      </c>
      <c r="Q77" s="27">
        <v>3</v>
      </c>
      <c r="R77" s="27">
        <v>3</v>
      </c>
      <c r="S77" s="27">
        <v>2.5</v>
      </c>
      <c r="T77" s="41"/>
      <c r="V77" s="25">
        <f t="shared" si="2"/>
        <v>59</v>
      </c>
      <c r="W77" s="26">
        <v>3</v>
      </c>
      <c r="X77" s="26">
        <v>3</v>
      </c>
    </row>
    <row r="78" spans="1:24" x14ac:dyDescent="0.25">
      <c r="A78" s="25">
        <f t="shared" si="0"/>
        <v>60</v>
      </c>
      <c r="B78" s="27">
        <v>3</v>
      </c>
      <c r="C78" s="27">
        <v>2</v>
      </c>
      <c r="D78" s="27">
        <v>2</v>
      </c>
      <c r="E78" s="27">
        <v>2</v>
      </c>
      <c r="F78" s="27">
        <v>2</v>
      </c>
      <c r="G78" s="27">
        <v>3</v>
      </c>
      <c r="H78" s="27">
        <v>3</v>
      </c>
      <c r="I78" s="27">
        <v>3</v>
      </c>
      <c r="J78" s="27">
        <v>1</v>
      </c>
      <c r="K78" s="27">
        <v>3</v>
      </c>
      <c r="L78" s="27">
        <v>2</v>
      </c>
      <c r="M78" s="26">
        <v>3</v>
      </c>
      <c r="O78" s="25">
        <f t="shared" si="1"/>
        <v>60</v>
      </c>
      <c r="P78" s="27">
        <v>3</v>
      </c>
      <c r="Q78" s="27">
        <v>3</v>
      </c>
      <c r="R78" s="27">
        <v>3</v>
      </c>
      <c r="S78" s="27">
        <v>2.5</v>
      </c>
      <c r="T78" s="41"/>
      <c r="V78" s="25">
        <f t="shared" si="2"/>
        <v>60</v>
      </c>
      <c r="W78" s="26">
        <v>3</v>
      </c>
      <c r="X78" s="26">
        <v>1</v>
      </c>
    </row>
    <row r="79" spans="1:24" x14ac:dyDescent="0.25">
      <c r="A79" s="21"/>
      <c r="B79" s="4"/>
      <c r="C79" s="4"/>
      <c r="D79" s="4"/>
      <c r="E79" s="4"/>
      <c r="F79" s="4"/>
      <c r="G79" s="4"/>
    </row>
    <row r="80" spans="1:24" x14ac:dyDescent="0.25">
      <c r="A80" s="4"/>
      <c r="B80" s="4"/>
      <c r="C80" s="4"/>
      <c r="D80" s="4"/>
      <c r="E80" s="4"/>
      <c r="F80" s="4"/>
      <c r="G80" s="4"/>
    </row>
    <row r="81" spans="1:24" x14ac:dyDescent="0.25">
      <c r="A81" s="34" t="s">
        <v>35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O81" s="18" t="s">
        <v>36</v>
      </c>
      <c r="P81" s="17"/>
      <c r="Q81" s="17"/>
      <c r="R81" s="17"/>
      <c r="S81" s="17"/>
      <c r="V81" s="34" t="s">
        <v>37</v>
      </c>
      <c r="W81" s="33"/>
    </row>
    <row r="82" spans="1:24" x14ac:dyDescent="0.25">
      <c r="A82" s="35" t="s">
        <v>34</v>
      </c>
      <c r="B82" s="36">
        <v>1</v>
      </c>
      <c r="C82" s="36">
        <v>2</v>
      </c>
      <c r="D82" s="36">
        <v>3</v>
      </c>
      <c r="E82" s="36">
        <v>4</v>
      </c>
      <c r="F82" s="36">
        <v>5</v>
      </c>
      <c r="G82" s="36">
        <v>6</v>
      </c>
      <c r="H82" s="36">
        <v>7</v>
      </c>
      <c r="I82" s="36">
        <v>8</v>
      </c>
      <c r="J82" s="36">
        <v>9</v>
      </c>
      <c r="K82" s="36">
        <v>10</v>
      </c>
      <c r="L82" s="36">
        <v>11</v>
      </c>
      <c r="M82" s="36">
        <v>12</v>
      </c>
      <c r="O82" s="35" t="s">
        <v>0</v>
      </c>
      <c r="P82" s="38">
        <v>13</v>
      </c>
      <c r="Q82" s="35">
        <v>14</v>
      </c>
      <c r="R82" s="35">
        <v>15</v>
      </c>
      <c r="S82" s="35">
        <v>16</v>
      </c>
      <c r="V82" s="35" t="s">
        <v>0</v>
      </c>
      <c r="W82" s="38">
        <v>17</v>
      </c>
      <c r="X82" s="35">
        <v>18</v>
      </c>
    </row>
    <row r="83" spans="1:24" x14ac:dyDescent="0.25">
      <c r="A83" s="35" t="s">
        <v>13</v>
      </c>
      <c r="B83" s="36" t="s">
        <v>17</v>
      </c>
      <c r="C83" s="36" t="s">
        <v>16</v>
      </c>
      <c r="D83" s="36" t="s">
        <v>39</v>
      </c>
      <c r="E83" s="36">
        <v>3</v>
      </c>
      <c r="F83" s="36" t="s">
        <v>17</v>
      </c>
      <c r="G83" s="36" t="s">
        <v>40</v>
      </c>
      <c r="H83" s="36" t="s">
        <v>12</v>
      </c>
      <c r="I83" s="36" t="s">
        <v>12</v>
      </c>
      <c r="J83" s="36" t="s">
        <v>18</v>
      </c>
      <c r="K83" s="36" t="s">
        <v>12</v>
      </c>
      <c r="L83" s="36" t="s">
        <v>12</v>
      </c>
      <c r="M83" s="36" t="s">
        <v>12</v>
      </c>
      <c r="O83" s="35" t="s">
        <v>13</v>
      </c>
      <c r="P83" s="38">
        <v>3</v>
      </c>
      <c r="Q83" s="38">
        <v>3</v>
      </c>
      <c r="R83" s="38">
        <v>3</v>
      </c>
      <c r="S83" s="38">
        <v>3</v>
      </c>
      <c r="V83" s="35" t="s">
        <v>13</v>
      </c>
      <c r="W83" s="38">
        <v>4</v>
      </c>
      <c r="X83" s="38">
        <v>4</v>
      </c>
    </row>
    <row r="84" spans="1:24" x14ac:dyDescent="0.25">
      <c r="A84" s="35" t="s">
        <v>4</v>
      </c>
      <c r="B84" s="37">
        <f t="shared" ref="B84:M84" si="3">AVERAGE(B19:B78)</f>
        <v>2.8666666666666667</v>
      </c>
      <c r="C84" s="37">
        <f t="shared" si="3"/>
        <v>2.8333333333333335</v>
      </c>
      <c r="D84" s="37">
        <f t="shared" si="3"/>
        <v>2.5499999999999998</v>
      </c>
      <c r="E84" s="37">
        <f t="shared" si="3"/>
        <v>2.6833333333333331</v>
      </c>
      <c r="F84" s="37">
        <f t="shared" si="3"/>
        <v>2.8666666666666667</v>
      </c>
      <c r="G84" s="37">
        <f t="shared" si="3"/>
        <v>2.8166666666666669</v>
      </c>
      <c r="H84" s="37">
        <f t="shared" si="3"/>
        <v>2.7666666666666666</v>
      </c>
      <c r="I84" s="37">
        <f t="shared" si="3"/>
        <v>2.5833333333333335</v>
      </c>
      <c r="J84" s="37">
        <f t="shared" si="3"/>
        <v>2.5</v>
      </c>
      <c r="K84" s="37">
        <f t="shared" si="3"/>
        <v>2.8833333333333333</v>
      </c>
      <c r="L84" s="37">
        <f t="shared" si="3"/>
        <v>2.5</v>
      </c>
      <c r="M84" s="37">
        <f t="shared" si="3"/>
        <v>3</v>
      </c>
      <c r="O84" s="35" t="s">
        <v>4</v>
      </c>
      <c r="P84" s="39">
        <f>AVERAGE(P19:P78)</f>
        <v>2.7166666666666668</v>
      </c>
      <c r="Q84" s="39">
        <f>AVERAGE(Q19:Q78)</f>
        <v>2.7633333333333336</v>
      </c>
      <c r="R84" s="39">
        <f>AVERAGE(R19:R78)</f>
        <v>2.8833333333333333</v>
      </c>
      <c r="S84" s="39">
        <f>AVERAGE(S19:S78)</f>
        <v>2.3166666666666669</v>
      </c>
      <c r="V84" s="35" t="s">
        <v>4</v>
      </c>
      <c r="W84" s="39">
        <f>AVERAGE(W19:W78)</f>
        <v>3</v>
      </c>
      <c r="X84" s="39">
        <f>AVERAGE(X19:X78)</f>
        <v>2.9666666666666668</v>
      </c>
    </row>
    <row r="85" spans="1:24" x14ac:dyDescent="0.25">
      <c r="A85" s="35" t="s">
        <v>5</v>
      </c>
      <c r="B85" s="37">
        <f t="shared" ref="B85:M85" si="4">STDEV(B19:B78)</f>
        <v>0.34280333180088168</v>
      </c>
      <c r="C85" s="37">
        <f t="shared" si="4"/>
        <v>0.37582301400141399</v>
      </c>
      <c r="D85" s="37">
        <f t="shared" si="4"/>
        <v>0.50169205221354429</v>
      </c>
      <c r="E85" s="37">
        <f t="shared" si="4"/>
        <v>0.46910179830729865</v>
      </c>
      <c r="F85" s="37">
        <f t="shared" si="4"/>
        <v>0.34280333180088168</v>
      </c>
      <c r="G85" s="37">
        <f t="shared" si="4"/>
        <v>0.39020492949942337</v>
      </c>
      <c r="H85" s="37">
        <f t="shared" si="4"/>
        <v>0.4265218680850989</v>
      </c>
      <c r="I85" s="37">
        <f t="shared" si="4"/>
        <v>0.59065222974028875</v>
      </c>
      <c r="J85" s="37">
        <f t="shared" si="4"/>
        <v>0.87333376460937295</v>
      </c>
      <c r="K85" s="37">
        <f t="shared" si="4"/>
        <v>0.3237317715130934</v>
      </c>
      <c r="L85" s="37">
        <f t="shared" si="4"/>
        <v>0.62436408326758863</v>
      </c>
      <c r="M85" s="37">
        <f t="shared" si="4"/>
        <v>0</v>
      </c>
      <c r="O85" s="35" t="s">
        <v>5</v>
      </c>
      <c r="P85" s="39">
        <f>STDEV(P19:P78)</f>
        <v>0.39452467288386966</v>
      </c>
      <c r="Q85" s="39">
        <f>STDEV(Q19:Q78)</f>
        <v>0.33696887482209614</v>
      </c>
      <c r="R85" s="39">
        <f>STDEV(R19:R78)</f>
        <v>0.26627796529615422</v>
      </c>
      <c r="S85" s="39">
        <f>STDEV(S19:S78)</f>
        <v>0.4314605336417176</v>
      </c>
      <c r="V85" s="35" t="s">
        <v>5</v>
      </c>
      <c r="W85" s="39">
        <f>STDEV(W19:W78)</f>
        <v>0</v>
      </c>
      <c r="X85" s="39">
        <f>STDEV(X19:X78)</f>
        <v>0.2581988897471611</v>
      </c>
    </row>
    <row r="86" spans="1:24" x14ac:dyDescent="0.25">
      <c r="A86" s="20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1:24" x14ac:dyDescent="0.25">
      <c r="A87" s="20" t="s">
        <v>4</v>
      </c>
      <c r="B87" s="9">
        <f>AVERAGE(B84:M84,P84:S84,W84:X84)</f>
        <v>2.7498148148148149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1:24" x14ac:dyDescent="0.25">
      <c r="A88" s="19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33"/>
    </row>
    <row r="89" spans="1:24" x14ac:dyDescent="0.25">
      <c r="A89" s="20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</row>
    <row r="91" spans="1:24" x14ac:dyDescent="0.25">
      <c r="A91" s="10" t="s">
        <v>31</v>
      </c>
      <c r="B91" s="7"/>
      <c r="C91" s="7"/>
      <c r="D91" s="7"/>
      <c r="E91" s="7"/>
      <c r="F91" s="7"/>
      <c r="G91" s="15"/>
      <c r="H91" s="15"/>
      <c r="I91" s="15"/>
    </row>
    <row r="92" spans="1:24" x14ac:dyDescent="0.25">
      <c r="A92" s="10"/>
      <c r="B92" s="30">
        <v>1</v>
      </c>
      <c r="C92" s="30">
        <v>3</v>
      </c>
      <c r="D92" s="30">
        <v>3</v>
      </c>
      <c r="E92" s="30">
        <v>4</v>
      </c>
      <c r="F92" s="30">
        <v>5</v>
      </c>
      <c r="G92" s="23">
        <v>6</v>
      </c>
      <c r="H92" s="23">
        <v>7</v>
      </c>
      <c r="I92" s="15"/>
    </row>
    <row r="93" spans="1:24" x14ac:dyDescent="0.25">
      <c r="A93" s="10"/>
      <c r="B93" s="30"/>
      <c r="C93" s="30" t="s">
        <v>32</v>
      </c>
      <c r="D93" s="30" t="s">
        <v>33</v>
      </c>
      <c r="E93" s="30"/>
      <c r="F93" s="30"/>
      <c r="G93" s="23"/>
      <c r="H93" s="23"/>
      <c r="I93" s="15"/>
    </row>
    <row r="94" spans="1:24" x14ac:dyDescent="0.25">
      <c r="A94" s="7" t="s">
        <v>7</v>
      </c>
      <c r="B94" s="31">
        <f>AVERAGE(B84,F84,G84,H84,I84,K84,L84,M84)</f>
        <v>2.7854166666666669</v>
      </c>
      <c r="C94" s="31">
        <f>AVERAGE(B84,C84,D84,E84,F84,G84,H84,I84,J84,K84,L84)</f>
        <v>2.7136363636363634</v>
      </c>
      <c r="D94" s="31">
        <f>AVERAGE(P84,Q84,R84,S84)</f>
        <v>2.67</v>
      </c>
      <c r="E94" s="31">
        <f>AVERAGE(D84,W84,X84)</f>
        <v>2.8388888888888886</v>
      </c>
      <c r="F94" s="31" t="s">
        <v>41</v>
      </c>
      <c r="G94" s="31">
        <f>AVERAGE(C84,H84,I84,K84,L84,M84)</f>
        <v>2.7611111111111111</v>
      </c>
      <c r="H94" s="31">
        <f>AVERAGE(D84,G84,J84)</f>
        <v>2.6222222222222222</v>
      </c>
      <c r="I94" s="8"/>
    </row>
    <row r="95" spans="1:24" x14ac:dyDescent="0.25">
      <c r="A95" s="7" t="s">
        <v>8</v>
      </c>
      <c r="B95" s="31">
        <f>STDEV(B84,F84,G84,H84,I84,K84,L84,M84)</f>
        <v>0.16581628292342004</v>
      </c>
      <c r="C95" s="31">
        <f>STDEV(B84,C84,D84,E84,F84,G84,H84,I84,J84,K84,L84)</f>
        <v>0.15470728306819767</v>
      </c>
      <c r="D95" s="31">
        <f>STDEV(P84,Q84,R84,S84)</f>
        <v>0.24579425301421265</v>
      </c>
      <c r="E95" s="31">
        <f>STDEV(D84,W84,X84)</f>
        <v>0.25073964658659476</v>
      </c>
      <c r="F95" s="31" t="s">
        <v>42</v>
      </c>
      <c r="G95" s="32">
        <f>STDEV(C84,H84,I84,K84,L84,M84)</f>
        <v>0.18816856115570263</v>
      </c>
      <c r="H95" s="32">
        <f>STDEV(D84,G84,J84)</f>
        <v>0.17023948273382863</v>
      </c>
      <c r="I95" s="16"/>
    </row>
    <row r="97" spans="2:2" x14ac:dyDescent="0.25">
      <c r="B97" s="29"/>
    </row>
    <row r="140" spans="1:20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pans="1:20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pans="1:20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1:20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1:20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1:20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1:20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1:20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1:20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1:20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1:20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:20" x14ac:dyDescent="0.25">
      <c r="A151" s="4"/>
      <c r="B151" s="4"/>
      <c r="C151" s="4"/>
      <c r="D151" s="4"/>
      <c r="E151" s="4"/>
      <c r="F151" s="4"/>
      <c r="G151" s="4"/>
      <c r="H151" s="11"/>
      <c r="I151" s="11"/>
      <c r="J151" s="11"/>
      <c r="K151" s="11"/>
      <c r="L151" s="11"/>
      <c r="M151" s="11"/>
      <c r="N151" s="4"/>
      <c r="O151" s="4"/>
      <c r="P151" s="4"/>
      <c r="Q151" s="4"/>
      <c r="R151" s="4"/>
      <c r="S151" s="4"/>
      <c r="T151" s="4"/>
    </row>
    <row r="152" spans="1:20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:20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:20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:20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:20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1:20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0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:20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:20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1:20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:20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:20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0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:20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:20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0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1:20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:20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:20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:20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:20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:20" x14ac:dyDescent="0.25">
      <c r="A173" s="4"/>
      <c r="B173" s="12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 x14ac:dyDescent="0.25">
      <c r="A174" s="4"/>
      <c r="B174" s="12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1:20" x14ac:dyDescent="0.25">
      <c r="A175" s="4"/>
      <c r="B175" s="12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1:20" x14ac:dyDescent="0.25">
      <c r="A176" s="4"/>
      <c r="B176" s="12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1:20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:20" x14ac:dyDescent="0.25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1:20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1:20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1:20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1:20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1:20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:20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:20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:20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:20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1:20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1:20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:20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1:20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1:20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1:20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1:20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1:20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1:20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1:20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:20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1:20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:20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spans="1:20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spans="1:20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spans="1:20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spans="1:20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spans="1:20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spans="1:20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 spans="1:20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 spans="1:20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spans="1:20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 spans="1:20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 spans="1:20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 spans="1:20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 spans="1:20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 spans="1:20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 spans="1:20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 spans="1:20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 spans="1:20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 spans="1:20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 spans="1:20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 spans="1:20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 spans="1:20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 spans="1:20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 spans="1:20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 spans="1:20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 spans="1:20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 spans="1:20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spans="1:20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spans="1:20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 spans="1:20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 spans="1:20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spans="1:20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spans="1:20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spans="1:20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 spans="1:20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spans="1:20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spans="1:20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 spans="1:20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 spans="1:20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spans="1:20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 spans="1:20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spans="1:20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spans="1:20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 spans="1:20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spans="1:20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 spans="1:20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 spans="1:20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 spans="1:20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 spans="1:20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 spans="1:20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 spans="1:20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spans="1:20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 spans="1:20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 spans="1:20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</cp:lastModifiedBy>
  <dcterms:created xsi:type="dcterms:W3CDTF">2013-01-15T05:38:26Z</dcterms:created>
  <dcterms:modified xsi:type="dcterms:W3CDTF">2020-02-22T21:07:17Z</dcterms:modified>
</cp:coreProperties>
</file>